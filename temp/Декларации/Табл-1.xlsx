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53D3237-C621-435C-B6A5-48968982C343}" xr6:coauthVersionLast="47" xr6:coauthVersionMax="47" xr10:uidLastSave="{00000000-0000-0000-0000-000000000000}"/>
  <bookViews>
    <workbookView xWindow="3950" yWindow="20" windowWidth="15250" windowHeight="1006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Лист1!$A$2:$L$2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7" i="1"/>
  <c r="F9" i="1" s="1"/>
  <c r="F12" i="1"/>
  <c r="F13" i="1" s="1"/>
  <c r="F3" i="1"/>
  <c r="F4" i="1" s="1"/>
  <c r="F16" i="1" s="1"/>
  <c r="F8" i="1"/>
</calcChain>
</file>

<file path=xl/sharedStrings.xml><?xml version="1.0" encoding="utf-8"?>
<sst xmlns="http://schemas.openxmlformats.org/spreadsheetml/2006/main" count="34" uniqueCount="27">
  <si>
    <t>H-L1100-0600-5-03-2N</t>
  </si>
  <si>
    <t>CHINA</t>
  </si>
  <si>
    <t>TL-P12</t>
  </si>
  <si>
    <t>PWD-M-15</t>
  </si>
  <si>
    <t>GQ16H-10/N off-(on)</t>
  </si>
  <si>
    <t>30/25</t>
  </si>
  <si>
    <t>33/25</t>
  </si>
  <si>
    <t>19/25</t>
  </si>
  <si>
    <t>п/п</t>
  </si>
  <si>
    <t>Наименование</t>
  </si>
  <si>
    <t>Счет</t>
  </si>
  <si>
    <t>Кол-во</t>
  </si>
  <si>
    <t>Цена</t>
  </si>
  <si>
    <t>Сумма</t>
  </si>
  <si>
    <t>Страна</t>
  </si>
  <si>
    <t>Опл./н.опл</t>
  </si>
  <si>
    <t>Пошлина в
 рублях</t>
  </si>
  <si>
    <t>Пошлина в 
 $</t>
  </si>
  <si>
    <t>Курс $</t>
  </si>
  <si>
    <t>Процент пошлины</t>
  </si>
  <si>
    <t>ГТД 10005030/120126/5002929</t>
  </si>
  <si>
    <t>№ товара</t>
  </si>
  <si>
    <t>Код ТНВЭД</t>
  </si>
  <si>
    <t>847981000</t>
  </si>
  <si>
    <t>AUL70-240-16/2</t>
  </si>
  <si>
    <t>7/26</t>
  </si>
  <si>
    <t>AUL120-300-16/2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</si>
</sst>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  <font>
      <sz val="24"/>
      <color theme="1"/>
      <name val="Calibri"/>
      <family val="2"/>
      <scheme val="minor"/>
    </font>
    <font>
      <b/>
      <sz val="24"/>
      <name val="Calibri"/>
      <family val="2"/>
    </font>
    <font>
      <b/>
      <sz val="24"/>
      <name val="Calibri"/>
      <family val="2"/>
      <scheme val="minor"/>
    </font>
    <font>
      <b/>
      <sz val="24"/>
      <color theme="1"/>
      <name val="Calibri"/>
      <family val="2"/>
      <charset val="204"/>
      <scheme val="minor"/>
    </font>
    <font>
      <b/>
      <sz val="24"/>
      <name val="Calibri"/>
      <family val="2"/>
      <charset val="204"/>
    </font>
    <font>
      <b/>
      <sz val="24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0" borderId="0" xfId="0" applyFont="1"/>
    <xf numFmtId="0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center" vertical="center"/>
    </xf>
    <xf numFmtId="2" fontId="2" fillId="3" borderId="2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/>
    </xf>
    <xf numFmtId="9" fontId="2" fillId="3" borderId="2" xfId="1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/>
    </xf>
    <xf numFmtId="2" fontId="4" fillId="0" borderId="0" xfId="0" applyNumberFormat="1" applyFont="1"/>
    <xf numFmtId="0" fontId="7" fillId="0" borderId="1" xfId="0" applyFont="1" applyBorder="1"/>
    <xf numFmtId="10" fontId="7" fillId="0" borderId="1" xfId="0" applyNumberFormat="1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7" fillId="4" borderId="1" xfId="0" applyFont="1" applyFill="1" applyBorder="1"/>
    <xf numFmtId="10" fontId="7" fillId="4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3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6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="40" zoomScaleNormal="40" workbookViewId="0">
      <selection activeCell="E7" sqref="E7"/>
    </sheetView>
  </sheetViews>
  <sheetFormatPr defaultColWidth="9.1796875" defaultRowHeight="31" x14ac:dyDescent="0.7"/>
  <cols>
    <col min="1" max="1" width="9.1796875" style="1"/>
    <col min="2" max="2" width="51.81640625" style="1" customWidth="1"/>
    <col min="3" max="3" width="23.81640625" style="1" customWidth="1"/>
    <col min="4" max="4" width="21.1796875" style="1" customWidth="1"/>
    <col min="5" max="5" width="22" style="16" customWidth="1"/>
    <col min="6" max="6" width="23.36328125" style="16" customWidth="1"/>
    <col min="7" max="7" width="22.81640625" style="1" hidden="1" customWidth="1"/>
    <col min="8" max="8" width="25.54296875" style="1" hidden="1" customWidth="1"/>
    <col min="9" max="9" width="25.26953125" style="1" hidden="1" customWidth="1"/>
    <col min="10" max="11" width="27.81640625" style="1" hidden="1" customWidth="1"/>
    <col min="12" max="12" width="27.1796875" style="1" hidden="1" customWidth="1"/>
    <col min="13" max="13" width="29.453125" style="1" customWidth="1"/>
    <col min="14" max="14" width="22.6328125" style="1" customWidth="1"/>
    <col min="15" max="16384" width="9.1796875" style="1"/>
  </cols>
  <sheetData>
    <row r="1" spans="1:14" ht="61.5" x14ac:dyDescent="0.7">
      <c r="A1" s="37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4" ht="63.75" customHeight="1" x14ac:dyDescent="0.7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2" t="s">
        <v>14</v>
      </c>
      <c r="H2" s="4" t="s">
        <v>15</v>
      </c>
      <c r="I2" s="5" t="s">
        <v>16</v>
      </c>
      <c r="J2" s="5" t="s">
        <v>17</v>
      </c>
      <c r="K2" s="6" t="s">
        <v>18</v>
      </c>
      <c r="L2" s="7" t="s">
        <v>19</v>
      </c>
      <c r="M2" s="27" t="s">
        <v>21</v>
      </c>
      <c r="N2" s="27" t="s">
        <v>22</v>
      </c>
    </row>
    <row r="3" spans="1:14" ht="41.25" customHeight="1" x14ac:dyDescent="0.7">
      <c r="A3" s="8">
        <v>3</v>
      </c>
      <c r="B3" s="28" t="s">
        <v>3</v>
      </c>
      <c r="C3" s="8" t="s">
        <v>7</v>
      </c>
      <c r="D3" s="10">
        <v>3</v>
      </c>
      <c r="E3" s="11">
        <v>720.5</v>
      </c>
      <c r="F3" s="12">
        <f>D3*E3</f>
        <v>2161.5</v>
      </c>
      <c r="G3" s="8" t="s">
        <v>1</v>
      </c>
      <c r="H3" s="13"/>
      <c r="I3" s="13"/>
      <c r="J3" s="13"/>
      <c r="K3" s="13"/>
      <c r="L3" s="13"/>
      <c r="M3" s="12">
        <v>3</v>
      </c>
      <c r="N3" s="12" t="s">
        <v>23</v>
      </c>
    </row>
    <row r="4" spans="1:14" x14ac:dyDescent="0.7">
      <c r="A4" s="19"/>
      <c r="B4" s="20"/>
      <c r="C4" s="19"/>
      <c r="D4" s="21"/>
      <c r="E4" s="22"/>
      <c r="F4" s="23">
        <f>SUM(F3)</f>
        <v>2161.5</v>
      </c>
      <c r="G4" s="19"/>
      <c r="H4" s="24"/>
      <c r="I4" s="24"/>
      <c r="J4" s="24"/>
      <c r="K4" s="24"/>
      <c r="L4" s="24"/>
      <c r="M4" s="12"/>
      <c r="N4" s="12"/>
    </row>
    <row r="5" spans="1:14" s="36" customFormat="1" x14ac:dyDescent="0.7">
      <c r="A5" s="29">
        <v>1</v>
      </c>
      <c r="B5" s="30" t="s">
        <v>24</v>
      </c>
      <c r="C5" s="31" t="s">
        <v>25</v>
      </c>
      <c r="D5" s="32">
        <v>96</v>
      </c>
      <c r="E5" s="33">
        <v>8.25</v>
      </c>
      <c r="F5" s="34">
        <f>D5*E5</f>
        <v>792</v>
      </c>
      <c r="G5" s="29" t="s">
        <v>1</v>
      </c>
      <c r="H5" s="35">
        <v>70002.080000000002</v>
      </c>
      <c r="I5" s="35"/>
      <c r="J5" s="35"/>
      <c r="K5" s="35">
        <v>88.386399999999995</v>
      </c>
      <c r="L5" s="35"/>
      <c r="M5" s="12"/>
      <c r="N5" s="12"/>
    </row>
    <row r="6" spans="1:14" s="36" customFormat="1" x14ac:dyDescent="0.7">
      <c r="A6" s="29">
        <v>2</v>
      </c>
      <c r="B6" s="30" t="s">
        <v>26</v>
      </c>
      <c r="C6" s="31" t="s">
        <v>25</v>
      </c>
      <c r="D6" s="32">
        <v>108</v>
      </c>
      <c r="E6" s="33">
        <v>10.45</v>
      </c>
      <c r="F6" s="34">
        <f>D6*E6</f>
        <v>1128.5999999999999</v>
      </c>
      <c r="G6" s="29" t="s">
        <v>1</v>
      </c>
      <c r="H6" s="35">
        <v>99752.960000000006</v>
      </c>
      <c r="I6" s="35"/>
      <c r="J6" s="35"/>
      <c r="K6" s="35">
        <v>88.386399999999995</v>
      </c>
      <c r="L6" s="35"/>
      <c r="M6" s="12"/>
      <c r="N6" s="12"/>
    </row>
    <row r="7" spans="1:14" x14ac:dyDescent="0.7">
      <c r="A7" s="8">
        <v>1</v>
      </c>
      <c r="B7" s="9" t="s">
        <v>0</v>
      </c>
      <c r="C7" s="8" t="s">
        <v>5</v>
      </c>
      <c r="D7" s="10">
        <v>50000</v>
      </c>
      <c r="E7" s="11">
        <v>0.05</v>
      </c>
      <c r="F7" s="12">
        <f>D7*E7</f>
        <v>2500</v>
      </c>
      <c r="G7" s="8" t="s">
        <v>1</v>
      </c>
      <c r="H7" s="13"/>
      <c r="I7" s="13"/>
      <c r="J7" s="13"/>
      <c r="K7" s="13"/>
      <c r="L7" s="13"/>
      <c r="M7" s="12">
        <v>1</v>
      </c>
      <c r="N7" s="12"/>
    </row>
    <row r="8" spans="1:14" x14ac:dyDescent="0.7">
      <c r="A8" s="8">
        <v>4</v>
      </c>
      <c r="B8" s="9" t="s">
        <v>4</v>
      </c>
      <c r="C8" s="8" t="s">
        <v>5</v>
      </c>
      <c r="D8" s="10">
        <v>9500</v>
      </c>
      <c r="E8" s="11">
        <v>0.62</v>
      </c>
      <c r="F8" s="12">
        <f>D8*E8</f>
        <v>5890</v>
      </c>
      <c r="G8" s="8" t="s">
        <v>1</v>
      </c>
      <c r="H8" s="13"/>
      <c r="I8" s="17">
        <v>34556.639999999999</v>
      </c>
      <c r="J8" s="17"/>
      <c r="K8" s="17">
        <v>78.226699999999994</v>
      </c>
      <c r="L8" s="18">
        <v>7.4999999999999997E-2</v>
      </c>
      <c r="M8" s="12">
        <v>4</v>
      </c>
      <c r="N8" s="12"/>
    </row>
    <row r="9" spans="1:14" x14ac:dyDescent="0.7">
      <c r="A9" s="19"/>
      <c r="B9" s="20"/>
      <c r="C9" s="19"/>
      <c r="D9" s="21"/>
      <c r="E9" s="22"/>
      <c r="F9" s="23">
        <f>SUM(F7:F8)</f>
        <v>8390</v>
      </c>
      <c r="G9" s="19"/>
      <c r="H9" s="24"/>
      <c r="I9" s="25"/>
      <c r="J9" s="25"/>
      <c r="K9" s="25"/>
      <c r="L9" s="26"/>
      <c r="M9" s="12"/>
      <c r="N9" s="12"/>
    </row>
    <row r="10" spans="1:14" x14ac:dyDescent="0.7">
      <c r="A10" s="8"/>
      <c r="B10" s="9"/>
      <c r="C10" s="8"/>
      <c r="D10" s="10"/>
      <c r="E10" s="11"/>
      <c r="F10" s="12"/>
      <c r="G10" s="8"/>
      <c r="H10" s="13"/>
      <c r="I10" s="17"/>
      <c r="J10" s="17"/>
      <c r="K10" s="17"/>
      <c r="L10" s="18"/>
      <c r="M10" s="12"/>
      <c r="N10" s="12"/>
    </row>
    <row r="11" spans="1:14" x14ac:dyDescent="0.7">
      <c r="A11" s="8"/>
      <c r="B11" s="9"/>
      <c r="C11" s="8"/>
      <c r="D11" s="10"/>
      <c r="E11" s="11"/>
      <c r="F11" s="12"/>
      <c r="G11" s="8"/>
      <c r="H11" s="13"/>
      <c r="I11" s="17"/>
      <c r="J11" s="17"/>
      <c r="K11" s="17"/>
      <c r="L11" s="18"/>
      <c r="M11" s="12"/>
      <c r="N11" s="12"/>
    </row>
    <row r="12" spans="1:14" x14ac:dyDescent="0.7">
      <c r="A12" s="8">
        <v>2</v>
      </c>
      <c r="B12" s="9" t="s">
        <v>2</v>
      </c>
      <c r="C12" s="8" t="s">
        <v>6</v>
      </c>
      <c r="D12" s="10">
        <v>60</v>
      </c>
      <c r="E12" s="11">
        <v>5.0999999999999996</v>
      </c>
      <c r="F12" s="12">
        <f>D12*E12</f>
        <v>306</v>
      </c>
      <c r="G12" s="8" t="s">
        <v>1</v>
      </c>
      <c r="H12" s="13"/>
      <c r="I12" s="13"/>
      <c r="J12" s="13"/>
      <c r="K12" s="13"/>
      <c r="L12" s="13"/>
      <c r="M12" s="12">
        <v>2</v>
      </c>
      <c r="N12" s="12"/>
    </row>
    <row r="13" spans="1:14" x14ac:dyDescent="0.7">
      <c r="A13" s="19"/>
      <c r="B13" s="20"/>
      <c r="C13" s="19"/>
      <c r="D13" s="21"/>
      <c r="E13" s="22"/>
      <c r="F13" s="23">
        <f>SUM(F12)</f>
        <v>306</v>
      </c>
      <c r="G13" s="19"/>
      <c r="H13" s="24"/>
      <c r="I13" s="24"/>
      <c r="J13" s="24"/>
      <c r="K13" s="24"/>
      <c r="L13" s="24"/>
      <c r="M13" s="12"/>
      <c r="N13" s="12"/>
    </row>
    <row r="14" spans="1:14" x14ac:dyDescent="0.7">
      <c r="A14" s="8"/>
      <c r="B14" s="9"/>
      <c r="C14" s="8"/>
      <c r="D14" s="10"/>
      <c r="E14" s="11"/>
      <c r="F14" s="12"/>
      <c r="G14" s="8"/>
      <c r="H14" s="13"/>
      <c r="I14" s="13"/>
      <c r="J14" s="13"/>
      <c r="K14" s="13"/>
      <c r="L14" s="13"/>
      <c r="M14" s="12"/>
      <c r="N14" s="12"/>
    </row>
    <row r="15" spans="1:14" x14ac:dyDescent="0.7">
      <c r="A15" s="8"/>
      <c r="B15" s="9"/>
      <c r="C15" s="8"/>
      <c r="D15" s="10"/>
      <c r="E15" s="11"/>
      <c r="F15" s="12"/>
      <c r="G15" s="8"/>
      <c r="H15" s="13"/>
      <c r="I15" s="13"/>
      <c r="J15" s="13"/>
      <c r="K15" s="13"/>
      <c r="L15" s="13"/>
      <c r="M15" s="12"/>
      <c r="N15" s="12"/>
    </row>
    <row r="16" spans="1:14" x14ac:dyDescent="0.7">
      <c r="A16" s="13"/>
      <c r="B16" s="13"/>
      <c r="C16" s="13"/>
      <c r="D16" s="14"/>
      <c r="E16" s="15"/>
      <c r="F16" s="23">
        <f>F4+F9+F13</f>
        <v>10857.5</v>
      </c>
      <c r="G16" s="24"/>
      <c r="H16" s="24"/>
      <c r="I16" s="25">
        <v>34556.639999999999</v>
      </c>
      <c r="J16" s="25"/>
      <c r="K16" s="25">
        <v>78.226699999999994</v>
      </c>
      <c r="L16" s="26">
        <v>7.4999999999999997E-2</v>
      </c>
      <c r="M16" s="12"/>
      <c r="N16" s="12"/>
    </row>
  </sheetData>
  <autoFilter ref="A2:L2" xr:uid="{00000000-0009-0000-0000-000000000000}">
    <sortState xmlns:xlrd2="http://schemas.microsoft.com/office/spreadsheetml/2017/richdata2" ref="A3:L7">
      <sortCondition ref="C2"/>
    </sortState>
  </autoFilter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2026-05-09T19:21:23Z</dcterms:modified>
</cp:coreProperties>
</file>