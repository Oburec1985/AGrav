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 concurrentCalc="0"/>
</workbook>
</file>

<file path=xl/calcChain.xml><?xml version="1.0" encoding="utf-8"?>
<calcChain xmlns="http://schemas.openxmlformats.org/spreadsheetml/2006/main">
  <c r="F3" i="1" l="1"/>
  <c r="F4" i="1"/>
  <c r="F5" i="1"/>
</calcChain>
</file>

<file path=xl/sharedStrings.xml><?xml version="1.0" encoding="utf-8"?>
<sst xmlns="http://schemas.openxmlformats.org/spreadsheetml/2006/main" count="20" uniqueCount="18">
  <si>
    <t>AUL70-240-16/2</t>
  </si>
  <si>
    <t>CHINA</t>
  </si>
  <si>
    <t>AUL120-300-16/2</t>
  </si>
  <si>
    <t>п/п</t>
  </si>
  <si>
    <t>Наименование</t>
  </si>
  <si>
    <t>Счет</t>
  </si>
  <si>
    <t>Кол-во</t>
  </si>
  <si>
    <t>Цена</t>
  </si>
  <si>
    <t>Сумма</t>
  </si>
  <si>
    <t>Страна</t>
  </si>
  <si>
    <t>Опл./н.опл</t>
  </si>
  <si>
    <t>Пошлина в
 рублях</t>
  </si>
  <si>
    <t>Пошлина в $</t>
  </si>
  <si>
    <t>Курс $</t>
  </si>
  <si>
    <t>Процент пошлины</t>
  </si>
  <si>
    <t>7/26</t>
  </si>
  <si>
    <t>ГТД 10418010/070426/5047332</t>
  </si>
  <si>
    <t>Номер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</si>
</sst>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4"/>
      <name val="Calibri"/>
      <family val="2"/>
      <charset val="204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left"/>
    </xf>
    <xf numFmtId="2" fontId="4" fillId="0" borderId="0" xfId="0" applyNumberFormat="1" applyFont="1"/>
    <xf numFmtId="0" fontId="6" fillId="3" borderId="1" xfId="1" applyNumberFormat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/>
    </xf>
    <xf numFmtId="9" fontId="6" fillId="3" borderId="2" xfId="1" applyNumberFormat="1" applyFont="1" applyFill="1" applyBorder="1" applyAlignment="1">
      <alignment horizontal="center" vertical="center" wrapText="1" shrinkToFit="1"/>
    </xf>
    <xf numFmtId="0" fontId="3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0" xfId="0" applyFont="1" applyFill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zoomScale="55" zoomScaleNormal="55" workbookViewId="0">
      <selection activeCell="M2" sqref="M2:M5"/>
    </sheetView>
  </sheetViews>
  <sheetFormatPr defaultRowHeight="31.5" x14ac:dyDescent="0.5"/>
  <cols>
    <col min="1" max="1" width="9.28515625" style="1" bestFit="1" customWidth="1"/>
    <col min="2" max="2" width="55.85546875" style="1" customWidth="1"/>
    <col min="3" max="3" width="23.7109375" style="1" customWidth="1"/>
    <col min="4" max="4" width="20.140625" style="1" customWidth="1"/>
    <col min="5" max="5" width="21.7109375" style="10" customWidth="1"/>
    <col min="6" max="6" width="27.140625" style="10" customWidth="1"/>
    <col min="7" max="7" width="27.5703125" style="1" customWidth="1"/>
    <col min="8" max="8" width="26.5703125" style="1" customWidth="1"/>
    <col min="9" max="9" width="27" style="1" customWidth="1"/>
    <col min="10" max="10" width="27.28515625" style="1" customWidth="1"/>
    <col min="11" max="11" width="28.5703125" style="1" customWidth="1"/>
    <col min="12" max="12" width="27.28515625" style="1" customWidth="1"/>
    <col min="13" max="13" width="30.28515625" style="1" customWidth="1"/>
    <col min="14" max="16384" width="9.140625" style="1"/>
  </cols>
  <sheetData>
    <row r="1" spans="1:13" ht="61.5" x14ac:dyDescent="0.5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62.25" customHeight="1" x14ac:dyDescent="0.5">
      <c r="A2" s="11" t="s">
        <v>3</v>
      </c>
      <c r="B2" s="11" t="s">
        <v>4</v>
      </c>
      <c r="C2" s="12" t="s">
        <v>5</v>
      </c>
      <c r="D2" s="11" t="s">
        <v>6</v>
      </c>
      <c r="E2" s="13" t="s">
        <v>7</v>
      </c>
      <c r="F2" s="13" t="s">
        <v>8</v>
      </c>
      <c r="G2" s="11" t="s">
        <v>9</v>
      </c>
      <c r="H2" s="14" t="s">
        <v>10</v>
      </c>
      <c r="I2" s="15" t="s">
        <v>11</v>
      </c>
      <c r="J2" s="15" t="s">
        <v>12</v>
      </c>
      <c r="K2" s="16" t="s">
        <v>13</v>
      </c>
      <c r="L2" s="17" t="s">
        <v>14</v>
      </c>
      <c r="M2" s="22" t="s">
        <v>17</v>
      </c>
    </row>
    <row r="3" spans="1:13" x14ac:dyDescent="0.5">
      <c r="A3" s="2">
        <v>1</v>
      </c>
      <c r="B3" s="21" t="s">
        <v>0</v>
      </c>
      <c r="C3" s="19" t="s">
        <v>15</v>
      </c>
      <c r="D3" s="3">
        <v>96</v>
      </c>
      <c r="E3" s="7">
        <v>8.25</v>
      </c>
      <c r="F3" s="8">
        <f>D3*E3</f>
        <v>792</v>
      </c>
      <c r="G3" s="2" t="s">
        <v>1</v>
      </c>
      <c r="H3" s="4">
        <v>70002.080000000002</v>
      </c>
      <c r="I3" s="4"/>
      <c r="J3" s="4"/>
      <c r="K3" s="4">
        <v>88.386399999999995</v>
      </c>
      <c r="L3" s="4"/>
      <c r="M3" s="22"/>
    </row>
    <row r="4" spans="1:13" x14ac:dyDescent="0.5">
      <c r="A4" s="2">
        <v>2</v>
      </c>
      <c r="B4" s="21" t="s">
        <v>2</v>
      </c>
      <c r="C4" s="19" t="s">
        <v>15</v>
      </c>
      <c r="D4" s="3">
        <v>108</v>
      </c>
      <c r="E4" s="7">
        <v>10.45</v>
      </c>
      <c r="F4" s="8">
        <f>D4*E4</f>
        <v>1128.5999999999999</v>
      </c>
      <c r="G4" s="2" t="s">
        <v>1</v>
      </c>
      <c r="H4" s="4">
        <v>99752.960000000006</v>
      </c>
      <c r="I4" s="4"/>
      <c r="J4" s="4"/>
      <c r="K4" s="4">
        <v>88.386399999999995</v>
      </c>
      <c r="L4" s="4"/>
      <c r="M4" s="22"/>
    </row>
    <row r="5" spans="1:13" x14ac:dyDescent="0.5">
      <c r="A5" s="4"/>
      <c r="B5" s="4"/>
      <c r="C5" s="4"/>
      <c r="D5" s="5"/>
      <c r="E5" s="9"/>
      <c r="F5" s="6">
        <f>SUM(F3:F4)</f>
        <v>1920.6</v>
      </c>
      <c r="G5" s="4"/>
      <c r="H5" s="18">
        <v>169755.04</v>
      </c>
      <c r="I5" s="4"/>
      <c r="J5" s="4"/>
      <c r="K5" s="4"/>
      <c r="L5" s="4"/>
      <c r="M5" s="22"/>
    </row>
  </sheetData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2026-04-10T12:04:54Z</dcterms:modified>
</cp:coreProperties>
</file>