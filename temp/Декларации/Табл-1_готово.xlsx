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50" yWindow="20" windowWidth="15250" windowHeight="1006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'Лист1'!$A$2:$L$2</definedName>
  </definedNames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_ "/>
  </numFmts>
  <fonts count="1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b val="1"/>
      <color theme="1"/>
      <sz val="24"/>
      <scheme val="minor"/>
    </font>
    <font>
      <name val="Calibri"/>
      <charset val="204"/>
      <family val="2"/>
      <b val="1"/>
      <color theme="1"/>
      <sz val="48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sz val="24"/>
    </font>
    <font>
      <name val="Calibri"/>
      <family val="2"/>
      <b val="1"/>
      <sz val="24"/>
      <scheme val="minor"/>
    </font>
    <font>
      <name val="Calibri"/>
      <charset val="204"/>
      <family val="2"/>
      <b val="1"/>
      <color theme="1"/>
      <sz val="24"/>
      <scheme val="minor"/>
    </font>
    <font>
      <name val="Calibri"/>
      <charset val="204"/>
      <family val="2"/>
      <b val="1"/>
      <sz val="24"/>
    </font>
    <font>
      <name val="Calibri"/>
      <charset val="204"/>
      <family val="2"/>
      <b val="1"/>
      <sz val="24"/>
      <scheme val="minor"/>
    </font>
    <font>
      <name val="Calibri"/>
      <charset val="204"/>
      <family val="2"/>
      <color theme="1"/>
      <sz val="24"/>
      <scheme val="minor"/>
    </font>
    <font>
      <color rgb="000000FF"/>
      <u val="single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1">
      <alignment horizontal="center" vertical="center"/>
    </xf>
    <xf numFmtId="2" fontId="2" fillId="3" borderId="1" applyAlignment="1" pivotButton="0" quotePrefix="0" xfId="1">
      <alignment horizontal="center" vertical="center"/>
    </xf>
    <xf numFmtId="0" fontId="2" fillId="3" borderId="2" applyAlignment="1" pivotButton="0" quotePrefix="0" xfId="1">
      <alignment horizontal="center" vertical="center"/>
    </xf>
    <xf numFmtId="2" fontId="2" fillId="3" borderId="2" applyAlignment="1" pivotButton="0" quotePrefix="0" xfId="1">
      <alignment horizontal="center" vertical="center" wrapText="1"/>
    </xf>
    <xf numFmtId="164" fontId="2" fillId="3" borderId="2" applyAlignment="1" pivotButton="0" quotePrefix="0" xfId="1">
      <alignment horizontal="center" vertical="center"/>
    </xf>
    <xf numFmtId="9" fontId="2" fillId="3" borderId="2" applyAlignment="1" pivotButton="0" quotePrefix="0" xfId="1">
      <alignment horizontal="center" vertical="center" wrapText="1" shrinkToFi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 wrapText="1"/>
    </xf>
    <xf numFmtId="2" fontId="6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left"/>
    </xf>
    <xf numFmtId="2" fontId="4" fillId="0" borderId="0" pivotButton="0" quotePrefix="0" xfId="0"/>
    <xf numFmtId="0" fontId="7" fillId="0" borderId="1" pivotButton="0" quotePrefix="0" xfId="0"/>
    <xf numFmtId="10" fontId="7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7" fillId="4" borderId="1" pivotButton="0" quotePrefix="0" xfId="0"/>
    <xf numFmtId="10" fontId="7" fillId="4" borderId="1" pivotButton="0" quotePrefix="0" xfId="0"/>
    <xf numFmtId="0" fontId="7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49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2" fontId="8" fillId="2" borderId="1" applyAlignment="1" pivotButton="0" quotePrefix="0" xfId="0">
      <alignment horizontal="center" vertical="center" wrapText="1"/>
    </xf>
    <xf numFmtId="2" fontId="9" fillId="2" borderId="1" applyAlignment="1" pivotButton="0" quotePrefix="0" xfId="0">
      <alignment horizontal="center" vertical="center"/>
    </xf>
    <xf numFmtId="0" fontId="10" fillId="0" borderId="1" pivotButton="0" quotePrefix="0" xfId="0"/>
    <xf numFmtId="0" fontId="10" fillId="0" borderId="0" pivotButton="0" quotePrefix="0" xfId="0"/>
    <xf numFmtId="0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64" fontId="2" fillId="3" borderId="2" applyAlignment="1" pivotButton="0" quotePrefix="0" xfId="1">
      <alignment horizontal="center" vertical="center"/>
    </xf>
    <xf numFmtId="165" fontId="5" fillId="2" borderId="1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</cellXfs>
  <cellStyles count="2">
    <cellStyle name="Обычный" xfId="0" builtinId="0"/>
    <cellStyle name="Обычный 6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Oburec\Antigravity\Projects\AGrav\temp\&#1044;&#1077;&#1082;&#1083;&#1072;&#1088;&#1072;&#1094;&#1080;&#1080;\1\&#1044;&#1086;&#1087; &#1043;&#1058;&#1044;-1.pdf" TargetMode="External" Id="rId1"/><Relationship Type="http://schemas.openxmlformats.org/officeDocument/2006/relationships/hyperlink" Target="C:\Oburec\Antigravity\Projects\AGrav\temp\&#1044;&#1077;&#1082;&#1083;&#1072;&#1088;&#1072;&#1094;&#1080;&#1080;\2\&#1044;&#1086;&#1087; &#1043;&#1058;&#1044;-2 _ GTD_10418010_070426_5047332_2.pdf" TargetMode="External" Id="rId2"/><Relationship Type="http://schemas.openxmlformats.org/officeDocument/2006/relationships/hyperlink" Target="C:\Oburec\Antigravity\Projects\AGrav\temp\&#1044;&#1077;&#1082;&#1083;&#1072;&#1088;&#1072;&#1094;&#1080;&#1080;\2\&#1044;&#1086;&#1087; &#1043;&#1058;&#1044;-2 _ GTD_10418010_070426_5047332_2.pdf" TargetMode="External" Id="rId3"/><Relationship Type="http://schemas.openxmlformats.org/officeDocument/2006/relationships/hyperlink" Target="C:\Oburec\Antigravity\Projects\AGrav\temp\&#1044;&#1077;&#1082;&#1083;&#1072;&#1088;&#1072;&#1094;&#1080;&#1080;\1\&#1044;&#1086;&#1087; &#1043;&#1058;&#1044;-1.pdf" TargetMode="External" Id="rId4"/><Relationship Type="http://schemas.openxmlformats.org/officeDocument/2006/relationships/hyperlink" Target="C:\Oburec\Antigravity\Projects\AGrav\temp\&#1044;&#1077;&#1082;&#1083;&#1072;&#1088;&#1072;&#1094;&#1080;&#1080;\1\&#1044;&#1086;&#1087; &#1043;&#1058;&#1044;-1.pdf" TargetMode="External" Id="rId5"/><Relationship Type="http://schemas.openxmlformats.org/officeDocument/2006/relationships/hyperlink" Target="C:\Oburec\Antigravity\Projects\AGrav\temp\&#1044;&#1077;&#1082;&#1083;&#1072;&#1088;&#1072;&#1094;&#1080;&#1080;\1\&#1044;&#1086;&#1087; &#1043;&#1058;&#1044;-1.pdf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tabSelected="1" zoomScale="40" zoomScaleNormal="40" workbookViewId="0">
      <selection activeCell="E7" sqref="E7"/>
    </sheetView>
  </sheetViews>
  <sheetFormatPr baseColWidth="8" defaultColWidth="9.1796875" defaultRowHeight="31"/>
  <cols>
    <col width="9.1796875" customWidth="1" style="1" min="1" max="1"/>
    <col width="51.81640625" customWidth="1" style="1" min="2" max="2"/>
    <col width="23.81640625" customWidth="1" style="1" min="3" max="3"/>
    <col width="21.1796875" customWidth="1" style="1" min="4" max="4"/>
    <col width="22" customWidth="1" style="16" min="5" max="5"/>
    <col width="23.36328125" customWidth="1" style="16" min="6" max="6"/>
    <col hidden="1" width="22.81640625" customWidth="1" style="1" min="7" max="7"/>
    <col hidden="1" width="25.54296875" customWidth="1" style="1" min="8" max="8"/>
    <col hidden="1" width="25.26953125" customWidth="1" style="1" min="9" max="9"/>
    <col hidden="1" width="27.81640625" customWidth="1" style="1" min="10" max="11"/>
    <col hidden="1" width="27.1796875" customWidth="1" style="1" min="12" max="12"/>
    <col width="29.453125" customWidth="1" style="1" min="13" max="13"/>
    <col width="22.6328125" customWidth="1" style="1" min="14" max="14"/>
    <col width="9.1796875" customWidth="1" style="1" min="15" max="16384"/>
  </cols>
  <sheetData>
    <row r="1" ht="61.5" customHeight="1">
      <c r="A1" s="37" t="inlineStr">
        <is>
          <t>ГТД 10005030/120126/5002929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</row>
    <row r="2" ht="63.75" customHeight="1">
      <c r="A2" s="2" t="inlineStr">
        <is>
          <t>п/п</t>
        </is>
      </c>
      <c r="B2" s="2" t="inlineStr">
        <is>
          <t>Наименование</t>
        </is>
      </c>
      <c r="C2" s="2" t="inlineStr">
        <is>
          <t>Счет</t>
        </is>
      </c>
      <c r="D2" s="2" t="inlineStr">
        <is>
          <t>Кол-во</t>
        </is>
      </c>
      <c r="E2" s="3" t="inlineStr">
        <is>
          <t>Цена</t>
        </is>
      </c>
      <c r="F2" s="3" t="inlineStr">
        <is>
          <t>Сумма</t>
        </is>
      </c>
      <c r="G2" s="2" t="inlineStr">
        <is>
          <t>Страна</t>
        </is>
      </c>
      <c r="H2" s="4" t="inlineStr">
        <is>
          <t>Опл./н.опл</t>
        </is>
      </c>
      <c r="I2" s="5" t="inlineStr">
        <is>
          <t>Пошлина в
 рублях</t>
        </is>
      </c>
      <c r="J2" s="5" t="inlineStr">
        <is>
          <t>Пошлина в 
 $</t>
        </is>
      </c>
      <c r="K2" s="39" t="inlineStr">
        <is>
          <t>Курс $</t>
        </is>
      </c>
      <c r="L2" s="7" t="inlineStr">
        <is>
          <t>Процент пошлины</t>
        </is>
      </c>
      <c r="M2" s="27" t="inlineStr">
        <is>
          <t>№ товара</t>
        </is>
      </c>
      <c r="N2" s="27" t="inlineStr">
        <is>
          <t>Код ТНВЭД</t>
        </is>
      </c>
    </row>
    <row r="3" ht="41.25" customHeight="1">
      <c r="A3" s="8" t="n">
        <v>3</v>
      </c>
      <c r="B3" s="28" t="inlineStr">
        <is>
          <t>PWD-M-15</t>
        </is>
      </c>
      <c r="C3" s="8" t="inlineStr">
        <is>
          <t>19/25</t>
        </is>
      </c>
      <c r="D3" s="40" t="n">
        <v>3</v>
      </c>
      <c r="E3" s="11" t="n">
        <v>720.5</v>
      </c>
      <c r="F3" s="12">
        <f>D3*E3</f>
        <v/>
      </c>
      <c r="G3" s="8" t="inlineStr">
        <is>
          <t>CHINA</t>
        </is>
      </c>
      <c r="H3" s="13" t="n"/>
      <c r="I3" s="13" t="n"/>
      <c r="J3" s="13" t="n"/>
      <c r="K3" s="13" t="n"/>
      <c r="L3" s="13" t="n"/>
      <c r="M3" s="41" t="inlineStr">
        <is>
          <t>3</t>
        </is>
      </c>
      <c r="N3" s="12" t="inlineStr">
        <is>
          <t>8479810000</t>
        </is>
      </c>
    </row>
    <row r="4">
      <c r="A4" s="19" t="n"/>
      <c r="B4" s="20" t="n"/>
      <c r="C4" s="19" t="n"/>
      <c r="D4" s="42" t="n"/>
      <c r="E4" s="22" t="n"/>
      <c r="F4" s="23">
        <f>SUM(F3)</f>
        <v/>
      </c>
      <c r="G4" s="19" t="n"/>
      <c r="H4" s="24" t="n"/>
      <c r="I4" s="24" t="n"/>
      <c r="J4" s="24" t="n"/>
      <c r="K4" s="24" t="n"/>
      <c r="L4" s="24" t="n"/>
      <c r="M4" s="12" t="n"/>
      <c r="N4" s="12" t="n"/>
    </row>
    <row r="5" customFormat="1" s="36">
      <c r="A5" s="29" t="n">
        <v>1</v>
      </c>
      <c r="B5" s="30" t="inlineStr">
        <is>
          <t>AUL70-240-16/2</t>
        </is>
      </c>
      <c r="C5" s="31" t="inlineStr">
        <is>
          <t>7/26</t>
        </is>
      </c>
      <c r="D5" s="32" t="n">
        <v>96</v>
      </c>
      <c r="E5" s="33" t="n">
        <v>8.25</v>
      </c>
      <c r="F5" s="34">
        <f>D5*E5</f>
        <v/>
      </c>
      <c r="G5" s="29" t="inlineStr">
        <is>
          <t>CHINA</t>
        </is>
      </c>
      <c r="H5" s="35" t="n">
        <v>70002.08</v>
      </c>
      <c r="I5" s="35" t="n"/>
      <c r="J5" s="35" t="n"/>
      <c r="K5" s="35" t="n">
        <v>88.38639999999999</v>
      </c>
      <c r="L5" s="35" t="n"/>
      <c r="M5" s="41" t="inlineStr">
        <is>
          <t>1</t>
        </is>
      </c>
      <c r="N5" s="12" t="inlineStr">
        <is>
          <t>8536901000</t>
        </is>
      </c>
    </row>
    <row r="6" customFormat="1" s="36">
      <c r="A6" s="29" t="n">
        <v>2</v>
      </c>
      <c r="B6" s="30" t="inlineStr">
        <is>
          <t>AUL120-300-16/2</t>
        </is>
      </c>
      <c r="C6" s="31" t="inlineStr">
        <is>
          <t>7/26</t>
        </is>
      </c>
      <c r="D6" s="32" t="n">
        <v>108</v>
      </c>
      <c r="E6" s="33" t="n">
        <v>10.45</v>
      </c>
      <c r="F6" s="34">
        <f>D6*E6</f>
        <v/>
      </c>
      <c r="G6" s="29" t="inlineStr">
        <is>
          <t>CHINA</t>
        </is>
      </c>
      <c r="H6" s="35" t="n">
        <v>99752.96000000001</v>
      </c>
      <c r="I6" s="35" t="n"/>
      <c r="J6" s="35" t="n"/>
      <c r="K6" s="35" t="n">
        <v>88.38639999999999</v>
      </c>
      <c r="L6" s="35" t="n"/>
      <c r="M6" s="41" t="inlineStr">
        <is>
          <t>1</t>
        </is>
      </c>
      <c r="N6" s="12" t="inlineStr">
        <is>
          <t>8536901000</t>
        </is>
      </c>
    </row>
    <row r="7">
      <c r="A7" s="8" t="n">
        <v>1</v>
      </c>
      <c r="B7" s="9" t="inlineStr">
        <is>
          <t>H-L1100-0600-5-03-2N</t>
        </is>
      </c>
      <c r="C7" s="8" t="inlineStr">
        <is>
          <t>30/25</t>
        </is>
      </c>
      <c r="D7" s="40" t="n">
        <v>50000</v>
      </c>
      <c r="E7" s="11" t="n">
        <v>0.05</v>
      </c>
      <c r="F7" s="12">
        <f>D7*E7</f>
        <v/>
      </c>
      <c r="G7" s="8" t="inlineStr">
        <is>
          <t>CHINA</t>
        </is>
      </c>
      <c r="H7" s="13" t="n"/>
      <c r="I7" s="13" t="n"/>
      <c r="J7" s="13" t="n"/>
      <c r="K7" s="13" t="n"/>
      <c r="L7" s="13" t="n"/>
      <c r="M7" s="41" t="inlineStr">
        <is>
          <t>1</t>
        </is>
      </c>
      <c r="N7" s="12" t="inlineStr">
        <is>
          <t>8302490009</t>
        </is>
      </c>
    </row>
    <row r="8">
      <c r="A8" s="8" t="n">
        <v>4</v>
      </c>
      <c r="B8" s="9" t="inlineStr">
        <is>
          <t>GQ16H-10/N off-(on)</t>
        </is>
      </c>
      <c r="C8" s="8" t="inlineStr">
        <is>
          <t>30/25</t>
        </is>
      </c>
      <c r="D8" s="40" t="n">
        <v>9500</v>
      </c>
      <c r="E8" s="11" t="n">
        <v>0.62</v>
      </c>
      <c r="F8" s="12">
        <f>D8*E8</f>
        <v/>
      </c>
      <c r="G8" s="8" t="inlineStr">
        <is>
          <t>CHINA</t>
        </is>
      </c>
      <c r="H8" s="13" t="n"/>
      <c r="I8" s="17" t="n">
        <v>34556.64</v>
      </c>
      <c r="J8" s="17" t="n"/>
      <c r="K8" s="17" t="n">
        <v>78.22669999999999</v>
      </c>
      <c r="L8" s="18" t="n">
        <v>0.075</v>
      </c>
      <c r="M8" s="41" t="inlineStr">
        <is>
          <t>4</t>
        </is>
      </c>
      <c r="N8" s="12" t="inlineStr">
        <is>
          <t>8536501109</t>
        </is>
      </c>
    </row>
    <row r="9">
      <c r="A9" s="19" t="n"/>
      <c r="B9" s="20" t="n"/>
      <c r="C9" s="19" t="n"/>
      <c r="D9" s="42" t="n"/>
      <c r="E9" s="22" t="n"/>
      <c r="F9" s="23">
        <f>SUM(F7:F8)</f>
        <v/>
      </c>
      <c r="G9" s="19" t="n"/>
      <c r="H9" s="24" t="n"/>
      <c r="I9" s="25" t="n"/>
      <c r="J9" s="25" t="n"/>
      <c r="K9" s="25" t="n"/>
      <c r="L9" s="26" t="n"/>
      <c r="M9" s="12" t="n"/>
      <c r="N9" s="12" t="n"/>
    </row>
    <row r="10">
      <c r="A10" s="8" t="n"/>
      <c r="B10" s="9" t="n"/>
      <c r="C10" s="8" t="n"/>
      <c r="D10" s="40" t="n"/>
      <c r="E10" s="11" t="n"/>
      <c r="F10" s="12" t="n"/>
      <c r="G10" s="8" t="n"/>
      <c r="H10" s="13" t="n"/>
      <c r="I10" s="17" t="n"/>
      <c r="J10" s="17" t="n"/>
      <c r="K10" s="17" t="n"/>
      <c r="L10" s="18" t="n"/>
      <c r="M10" s="12" t="n"/>
      <c r="N10" s="12" t="n"/>
    </row>
    <row r="11">
      <c r="A11" s="8" t="n"/>
      <c r="B11" s="9" t="n"/>
      <c r="C11" s="8" t="n"/>
      <c r="D11" s="40" t="n"/>
      <c r="E11" s="11" t="n"/>
      <c r="F11" s="12" t="n"/>
      <c r="G11" s="8" t="n"/>
      <c r="H11" s="13" t="n"/>
      <c r="I11" s="17" t="n"/>
      <c r="J11" s="17" t="n"/>
      <c r="K11" s="17" t="n"/>
      <c r="L11" s="18" t="n"/>
      <c r="M11" s="12" t="n"/>
      <c r="N11" s="12" t="n"/>
    </row>
    <row r="12">
      <c r="A12" s="8" t="n">
        <v>2</v>
      </c>
      <c r="B12" s="9" t="inlineStr">
        <is>
          <t>TL-P12</t>
        </is>
      </c>
      <c r="C12" s="8" t="inlineStr">
        <is>
          <t>33/25</t>
        </is>
      </c>
      <c r="D12" s="40" t="n">
        <v>60</v>
      </c>
      <c r="E12" s="11" t="n">
        <v>5.1</v>
      </c>
      <c r="F12" s="12">
        <f>D12*E12</f>
        <v/>
      </c>
      <c r="G12" s="8" t="inlineStr">
        <is>
          <t>CHINA</t>
        </is>
      </c>
      <c r="H12" s="13" t="n"/>
      <c r="I12" s="13" t="n"/>
      <c r="J12" s="13" t="n"/>
      <c r="K12" s="13" t="n"/>
      <c r="L12" s="13" t="n"/>
      <c r="M12" s="41" t="inlineStr">
        <is>
          <t>2</t>
        </is>
      </c>
      <c r="N12" s="12" t="inlineStr">
        <is>
          <t>8414592000</t>
        </is>
      </c>
    </row>
    <row r="13">
      <c r="A13" s="19" t="n"/>
      <c r="B13" s="20" t="n"/>
      <c r="C13" s="19" t="n"/>
      <c r="D13" s="42" t="n"/>
      <c r="E13" s="22" t="n"/>
      <c r="F13" s="23">
        <f>SUM(F12)</f>
        <v/>
      </c>
      <c r="G13" s="19" t="n"/>
      <c r="H13" s="24" t="n"/>
      <c r="I13" s="24" t="n"/>
      <c r="J13" s="24" t="n"/>
      <c r="K13" s="24" t="n"/>
      <c r="L13" s="24" t="n"/>
      <c r="M13" s="12" t="n"/>
      <c r="N13" s="12" t="n"/>
    </row>
    <row r="14">
      <c r="A14" s="8" t="n"/>
      <c r="B14" s="9" t="n"/>
      <c r="C14" s="8" t="n"/>
      <c r="D14" s="40" t="n"/>
      <c r="E14" s="11" t="n"/>
      <c r="F14" s="12" t="n"/>
      <c r="G14" s="8" t="n"/>
      <c r="H14" s="13" t="n"/>
      <c r="I14" s="13" t="n"/>
      <c r="J14" s="13" t="n"/>
      <c r="K14" s="13" t="n"/>
      <c r="L14" s="13" t="n"/>
      <c r="M14" s="12" t="n"/>
      <c r="N14" s="12" t="n"/>
    </row>
    <row r="15">
      <c r="A15" s="8" t="n"/>
      <c r="B15" s="9" t="n"/>
      <c r="C15" s="8" t="n"/>
      <c r="D15" s="40" t="n"/>
      <c r="E15" s="11" t="n"/>
      <c r="F15" s="12" t="n"/>
      <c r="G15" s="8" t="n"/>
      <c r="H15" s="13" t="n"/>
      <c r="I15" s="13" t="n"/>
      <c r="J15" s="13" t="n"/>
      <c r="K15" s="13" t="n"/>
      <c r="L15" s="13" t="n"/>
      <c r="M15" s="12" t="n"/>
      <c r="N15" s="12" t="n"/>
    </row>
    <row r="16">
      <c r="A16" s="13" t="n"/>
      <c r="B16" s="13" t="n"/>
      <c r="C16" s="13" t="n"/>
      <c r="D16" s="14" t="n"/>
      <c r="E16" s="15" t="n"/>
      <c r="F16" s="23">
        <f>F4+F9+F13</f>
        <v/>
      </c>
      <c r="G16" s="24" t="n"/>
      <c r="H16" s="24" t="n"/>
      <c r="I16" s="25" t="n">
        <v>34556.64</v>
      </c>
      <c r="J16" s="25" t="n"/>
      <c r="K16" s="25" t="n">
        <v>78.22669999999999</v>
      </c>
      <c r="L16" s="26" t="n">
        <v>0.075</v>
      </c>
      <c r="M16" s="12" t="n"/>
      <c r="N16" s="12" t="n"/>
    </row>
  </sheetData>
  <autoFilter ref="A2:L2">
    <sortState ref="A3:L7">
      <sortCondition ref="C2"/>
    </sortState>
  </autoFilter>
  <mergeCells count="1">
    <mergeCell ref="A1:L1"/>
  </mergeCells>
  <hyperlinks>
    <hyperlink xmlns:r="http://schemas.openxmlformats.org/officeDocument/2006/relationships" ref="M3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12" r:id="rId6"/>
  </hyperlinks>
  <pageMargins left="0.7086614173228347" right="0.7086614173228347" top="0.7480314960629921" bottom="0.7480314960629921" header="0.3149606299212598" footer="0.3149606299212598"/>
  <pageSetup orientation="landscape" paperSize="9" scale="41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2026-05-09T19:54:11Z</dcterms:modified>
</cp:coreProperties>
</file>