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ЭтаКнига"/>
  <mc:AlternateContent xmlns:mc="http://schemas.openxmlformats.org/markup-compatibility/2006">
    <mc:Choice Requires="x15">
      <x15ac:absPath xmlns:x15ac="http://schemas.microsoft.com/office/spreadsheetml/2010/11/ac" url="D:\works\AGrav\00_Система\Инструменты\Python_Excel\"/>
    </mc:Choice>
  </mc:AlternateContent>
  <xr:revisionPtr revIDLastSave="0" documentId="13_ncr:1_{C3AE967A-B77E-4CBF-AF07-C131A3D01E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Итог" sheetId="1" r:id="rId1"/>
    <sheet name="Инструкция" sheetId="2" r:id="rId2"/>
  </sheets>
  <definedNames>
    <definedName name="Kэфф">Итог!$M$5</definedName>
    <definedName name="N_факт">Итог!$F$31</definedName>
    <definedName name="Оборот">Итог!$C$4</definedName>
    <definedName name="перерасход">Итог!$I$28</definedName>
    <definedName name="Процент">#REF!</definedName>
    <definedName name="Чел_мес">#REF!</definedName>
  </definedNames>
  <calcPr calcId="191029"/>
</workbook>
</file>

<file path=xl/calcChain.xml><?xml version="1.0" encoding="utf-8"?>
<calcChain xmlns="http://schemas.openxmlformats.org/spreadsheetml/2006/main">
  <c r="F29" i="1" l="1"/>
  <c r="F26" i="1"/>
  <c r="I24" i="1"/>
  <c r="E24" i="1"/>
  <c r="I23" i="1"/>
  <c r="E23" i="1"/>
  <c r="I22" i="1"/>
  <c r="E22" i="1"/>
  <c r="I21" i="1"/>
  <c r="E21" i="1"/>
  <c r="I20" i="1"/>
  <c r="E20" i="1"/>
  <c r="F17" i="1"/>
  <c r="I17" i="1" s="1"/>
  <c r="I16" i="1"/>
  <c r="E16" i="1"/>
  <c r="I15" i="1"/>
  <c r="E15" i="1"/>
  <c r="F14" i="1"/>
  <c r="I14" i="1" s="1"/>
  <c r="F13" i="1"/>
  <c r="I12" i="1"/>
  <c r="E12" i="1"/>
  <c r="I11" i="1"/>
  <c r="E11" i="1"/>
  <c r="I10" i="1"/>
  <c r="E10" i="1"/>
  <c r="K8" i="1"/>
  <c r="N30" i="1" s="1"/>
  <c r="K7" i="1"/>
  <c r="K5" i="1" s="1"/>
  <c r="C7" i="1"/>
  <c r="C6" i="1"/>
  <c r="E7" i="1" s="1"/>
  <c r="E4" i="1"/>
  <c r="K4" i="1" s="1"/>
  <c r="H2" i="1"/>
  <c r="I27" i="1" l="1"/>
  <c r="K6" i="1"/>
  <c r="G7" i="1"/>
  <c r="G8" i="1" s="1"/>
  <c r="E6" i="1"/>
  <c r="G6" i="1"/>
  <c r="E14" i="1"/>
  <c r="E13" i="1"/>
  <c r="I13" i="1"/>
  <c r="E17" i="1"/>
  <c r="K30" i="1" l="1"/>
  <c r="I30" i="1"/>
  <c r="M5" i="1"/>
  <c r="I31" i="1" l="1"/>
  <c r="F19" i="1"/>
  <c r="F18" i="1"/>
  <c r="L30" i="1"/>
  <c r="I19" i="1" l="1"/>
  <c r="E19" i="1"/>
  <c r="I18" i="1"/>
  <c r="E18" i="1"/>
  <c r="F30" i="1"/>
  <c r="F27" i="1"/>
  <c r="D28" i="1" l="1"/>
  <c r="C28" i="1"/>
  <c r="I28" i="1" l="1"/>
  <c r="F28" i="1"/>
  <c r="L19" i="1" l="1"/>
  <c r="L18" i="1"/>
</calcChain>
</file>

<file path=xl/sharedStrings.xml><?xml version="1.0" encoding="utf-8"?>
<sst xmlns="http://schemas.openxmlformats.org/spreadsheetml/2006/main" count="122" uniqueCount="112">
  <si>
    <t>Трудоемкости</t>
  </si>
  <si>
    <t>Командировки</t>
  </si>
  <si>
    <t>РСС</t>
  </si>
  <si>
    <t>Отчет за месяц</t>
  </si>
  <si>
    <t>Оборот млн/мес</t>
  </si>
  <si>
    <t>Оборот на чл/год
Эффективность
No=об/чл</t>
  </si>
  <si>
    <t>Nрук</t>
  </si>
  <si>
    <t>Оборот на чл/год
No=об/чл</t>
  </si>
  <si>
    <t>Процент ФОТ</t>
  </si>
  <si>
    <t>Фот_б
(базовая часть ФОТ)</t>
  </si>
  <si>
    <t>Nо_факт</t>
  </si>
  <si>
    <t>Kэфф-ть отн-о Nо</t>
  </si>
  <si>
    <t>ФОТ, млн</t>
  </si>
  <si>
    <t>Фот_б, млн</t>
  </si>
  <si>
    <t>ФОТ_пр</t>
  </si>
  <si>
    <t>Уст-ся значение exp</t>
  </si>
  <si>
    <t>N=</t>
  </si>
  <si>
    <t>чл по модели</t>
  </si>
  <si>
    <t>F(z exp) - прем. рук-й
(доля от ФОТ)</t>
  </si>
  <si>
    <t>прем. рук-й, млн</t>
  </si>
  <si>
    <t>т.р./млн</t>
  </si>
  <si>
    <t>Nфакт=</t>
  </si>
  <si>
    <t>Nфакт_разв=</t>
  </si>
  <si>
    <t>ФИО</t>
  </si>
  <si>
    <t>Категория</t>
  </si>
  <si>
    <t>Оклад, т.р.</t>
  </si>
  <si>
    <t>Премия, т.р.</t>
  </si>
  <si>
    <t>ЗП, т.р.</t>
  </si>
  <si>
    <t>Примеч.</t>
  </si>
  <si>
    <t>Факт.</t>
  </si>
  <si>
    <t>Разн.</t>
  </si>
  <si>
    <t>Разработка</t>
  </si>
  <si>
    <t>Коршунов А.А.</t>
  </si>
  <si>
    <t>РП</t>
  </si>
  <si>
    <t>Заказ: 3252 Сопровождение разработки документации, сбор. архивирование, отправка заказчику для закрытия этапа разработка РКД.; 3257 работа со счетами; 3120 деловая переписка; 2150 переписка, контроль состояния; 3257 работа со счетами</t>
  </si>
  <si>
    <t>Лазарев А.Е.</t>
  </si>
  <si>
    <t>Инж. 2</t>
  </si>
  <si>
    <t>ТКП: 118_26 Индуктивный датчик Авиадвигатель
Заказ: 3173 запуск изготовления ОПСИ</t>
  </si>
  <si>
    <t>Лобачев А.Г.</t>
  </si>
  <si>
    <t>Инж. 1</t>
  </si>
  <si>
    <t>Заказ: 3209, 3135, 2954 (доработка КД)</t>
  </si>
  <si>
    <t>Потолочин И.М.</t>
  </si>
  <si>
    <t>ТКП: ТКП 059_24, 076_25
Заказ: 3040 Участие в испытаниях, организационные работы по доработке
2850 Метрология, испытания, доработка</t>
  </si>
  <si>
    <t>Баженова Н.М.</t>
  </si>
  <si>
    <t>Администратор</t>
  </si>
  <si>
    <t>Развитие: Трудоемкость отдела, обновить формат ведения
Администрирование: техническое оснащение,  перепланировка к216; Администрирование заказов отдела (ПВЗ, договорные сроки и этапы, подготовка к ОС: входящие письма, вопросы, констр. заметки), работа с письмами отдела, табель, помощь с 1С; 2150 документация; 1668 - адм. вопроса по mic-819</t>
  </si>
  <si>
    <t>Данилин</t>
  </si>
  <si>
    <t>МП</t>
  </si>
  <si>
    <t>ТКП: 2026_045, 2026_145
Развитие: LLM
Администрирование: 3236, 3209</t>
  </si>
  <si>
    <t>Проскурин М.А.</t>
  </si>
  <si>
    <t>Менеджер проектов</t>
  </si>
  <si>
    <t>Заказ: 3119
Проработка дополнение к ТЗ
3251 Проработка операторской
3129 
1.Контроль изготовления стативов датчиков Метран
2.Контроль монтажных работ по сборке стативов датчиков Метран
Дополнительно: Развитие разработки контейнеров</t>
  </si>
  <si>
    <t>Грязнев А.А.</t>
  </si>
  <si>
    <t>Инж.</t>
  </si>
  <si>
    <t>ТКП: 115_26 ДКБА: командировка, сбор ИД, проработка с КО; 002_26 АВТОТОР получение исходных данных, проработка концепта, взаимодействие с климматиками и аккустиками
Заказ: 3129 командировка; 3119: доп ТЗ(анализ, правки, согласование) подбор новой арматуры
Развитие: запуск antigravity в корпоративной сети
Администрирование: Kingsly: устранение багов recorder и проблем mic-140 совместно с СС</t>
  </si>
  <si>
    <t>если все риски</t>
  </si>
  <si>
    <t>Скрипник А-р.А.</t>
  </si>
  <si>
    <t>Вед. инж.</t>
  </si>
  <si>
    <t>Заказ: 3209 переработка ТЗ с учетом новых требований; 3135 подписаны акты по испытаниям ЗП3.1 (ДУ3000), испытания командного насоса, тех. решение по азотной системе. Достигнута договоренность по монтажу панели управления в 5 корпусе
Развитие: Подключение и испытания DeepSeek + Opencode, в т.ч. через proxy, аудит существующего плагина. ПО для доступа к ЭБУ j1939
Администрирование: Проект методики аудита топливных систем
Дополнительно: Тех. поддержка НПО Лавочкина, АРМ ТВИ</t>
  </si>
  <si>
    <t>Скрипник А-й.А.</t>
  </si>
  <si>
    <t>Рук. отд.</t>
  </si>
  <si>
    <t>ТКП: ТКП совместно: МИРЭА 296_25, НИИМАШ 209_26, DDS-M Сатурн, УЗГА 053_26 СЭС, КБХМ 203_26 Луна РМ2, 212_26 РВК РМ8, 002_26 Автотор
Заказ: 3218 - доработки ПО (модальный молоток) по пожеланиям
Развитие: Recorder и OpenGL chart на Linux; Способы подключения Antigravity и Codex в РФ</t>
  </si>
  <si>
    <t>Силаев С.Г.</t>
  </si>
  <si>
    <t>ТКП: 581_26; 044_26,157_26
Заказ: 1668, 2150, 3252</t>
  </si>
  <si>
    <t>Коростелев О.Б.</t>
  </si>
  <si>
    <t>Потолочин М.П.</t>
  </si>
  <si>
    <t>ТКП: ТКП_215_2026, ТКП МИРЭА, ТКП 2025_066 выход на договор -встреча с ГД ,ТКП 115-2026, ТТ от Звезды в новое ТКП,ТКП 119_2026,ТКП 048_2026
Заказ: 3251
Развитие: Высокотемпературные датчики ТЗ, высокотемпературный кабель, высокотемпературный лак, диэлектрические и проводниковые пасты, отправка за рубеж, СТ-1, тестирование Овен-ALT,
Дополнительно: Прикидки в ЗВезду, ассемблирование ИИ; Встреча с представителями РКЦ Прогресс, отправка материалов</t>
  </si>
  <si>
    <t>Горенков А.В.</t>
  </si>
  <si>
    <t>MIC1200 -разработка ПО Linux</t>
  </si>
  <si>
    <t>Фокин С.В.</t>
  </si>
  <si>
    <t>Заказ: 3040 - ТМК, plgFatigueTest
Развитие: LabVIEW driver MX-255</t>
  </si>
  <si>
    <t>Итог разв:</t>
  </si>
  <si>
    <t>учет разв.</t>
  </si>
  <si>
    <t>Полный</t>
  </si>
  <si>
    <t>Итог</t>
  </si>
  <si>
    <t>т.р.</t>
  </si>
  <si>
    <t>100/чл</t>
  </si>
  <si>
    <t>Проц. от об-та</t>
  </si>
  <si>
    <t>%</t>
  </si>
  <si>
    <t>перерасход, млн</t>
  </si>
  <si>
    <t>Оборот, млн
Средн. 1г.</t>
  </si>
  <si>
    <t>млн</t>
  </si>
  <si>
    <t>Зпсред</t>
  </si>
  <si>
    <t>Зп_сред.
Модель ФОТ/No</t>
  </si>
  <si>
    <t>При N=</t>
  </si>
  <si>
    <t>No</t>
  </si>
  <si>
    <t>С учетом программистов - факт 12 чл</t>
  </si>
  <si>
    <t>Зп_р/ср</t>
  </si>
  <si>
    <t>С учетом коэфиициента расч. Оборот к N</t>
  </si>
  <si>
    <t>Прогр.</t>
  </si>
  <si>
    <t>Коростелев, Фокин</t>
  </si>
  <si>
    <t>Разв-ие</t>
  </si>
  <si>
    <t>Потолочин МП</t>
  </si>
  <si>
    <t>Адм</t>
  </si>
  <si>
    <t>Баженова</t>
  </si>
  <si>
    <t>Рук</t>
  </si>
  <si>
    <t>Скрипник Ай</t>
  </si>
  <si>
    <t>Скрипник Ар</t>
  </si>
  <si>
    <t>ФОТ млн</t>
  </si>
  <si>
    <t>8% от среднемесечного оборота</t>
  </si>
  <si>
    <t>базовая часть которая определяет среднюю ЗП</t>
  </si>
  <si>
    <t>Fz</t>
  </si>
  <si>
    <t>Затухающая экспонента отражает стпень вовлечения руководителей
(снижает долю премии при росте оборота)</t>
  </si>
  <si>
    <t>устоявшееся значение - больше 2 млрд премия перестает расти от оборота и растет только с средней зп всех сотрудников. Средняя растет от оборота только за счет эффективности</t>
  </si>
  <si>
    <t>делит премию Fz между руководителями</t>
  </si>
  <si>
    <t>Оборот на чл. Выбрано исходя из здравого смысла с учетом существующей статистики 100 млн.
3 человека могут выполнять заказы на 100 млн (РП, ТРП, помошник), успевать делать ТКП и решать минимальный набор задач связанный с орг/адм/ развитием</t>
  </si>
  <si>
    <t>Nфакт</t>
  </si>
  <si>
    <t>Сколько людей в отделе. Влияет на сред. Зп ()</t>
  </si>
  <si>
    <t>Nфакт_разв</t>
  </si>
  <si>
    <t>количество людей занятое в заказах (исходя из модели - программисты - ЦР не учитываются в проектных группах)</t>
  </si>
  <si>
    <t>Справочные расчеты</t>
  </si>
  <si>
    <t>Если все риски и если не все - Если все риски, то если ФОТ группы &lt; расчетного то избыток вычитается из рук-й (но и в обратную сторону работает если меньше людей чем расчетное количество то идет расчет бонуса).
Если не все, то умножается на Кэфф (расчет сколько в группе должно быть людей исходя из ФОТ) - работа идет по этой формуле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</si>
</sst>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rgb="FF000000"/>
      <name val="Calibri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0000"/>
      <name val="Calibri"/>
      <family val="2"/>
      <charset val="204"/>
    </font>
    <font>
      <sz val="8"/>
      <name val="Arial"/>
      <family val="2"/>
    </font>
    <font>
      <sz val="11"/>
      <color rgb="FF0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color rgb="FF000000"/>
      <name val="Calibri"/>
      <family val="2"/>
      <charset val="204"/>
    </font>
    <font>
      <b/>
      <sz val="8"/>
      <color rgb="FF000000"/>
      <name val="Calibri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8"/>
      <color rgb="FF000000"/>
      <name val="Calibri"/>
      <family val="2"/>
      <charset val="204"/>
    </font>
    <font>
      <sz val="9"/>
      <color rgb="FFFF0000"/>
      <name val="Calibri"/>
      <family val="2"/>
      <charset val="204"/>
    </font>
    <font>
      <b/>
      <sz val="9"/>
      <color rgb="FF000000"/>
      <name val="Calibri"/>
      <family val="2"/>
      <charset val="204"/>
    </font>
    <font>
      <u/>
      <sz val="10"/>
      <color theme="10"/>
      <name val="Calibri"/>
      <family val="2"/>
      <charset val="204"/>
    </font>
    <font>
      <sz val="10"/>
      <color rgb="FF000000"/>
      <name val="Arial"/>
      <family val="2"/>
      <charset val="204"/>
    </font>
    <font>
      <sz val="9"/>
      <name val="Calibri"/>
      <family val="2"/>
      <charset val="204"/>
    </font>
    <font>
      <b/>
      <sz val="10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6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8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1" fillId="0" borderId="1"/>
    <xf numFmtId="0" fontId="7" fillId="0" borderId="1"/>
    <xf numFmtId="0" fontId="1" fillId="0" borderId="1"/>
    <xf numFmtId="0" fontId="8" fillId="0" borderId="1"/>
  </cellStyleXfs>
  <cellXfs count="98">
    <xf numFmtId="0" fontId="0" fillId="0" borderId="0" xfId="0" applyBorder="1"/>
    <xf numFmtId="1" fontId="9" fillId="0" borderId="2" xfId="0" applyNumberFormat="1" applyFont="1" applyBorder="1" applyAlignment="1">
      <alignment horizontal="left" vertical="center"/>
    </xf>
    <xf numFmtId="1" fontId="9" fillId="2" borderId="2" xfId="0" applyNumberFormat="1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9" fillId="0" borderId="2" xfId="0" applyFont="1" applyBorder="1"/>
    <xf numFmtId="17" fontId="3" fillId="0" borderId="2" xfId="0" applyNumberFormat="1" applyFont="1" applyBorder="1" applyAlignment="1">
      <alignment horizontal="left" vertical="center"/>
    </xf>
    <xf numFmtId="0" fontId="14" fillId="0" borderId="2" xfId="0" applyFont="1" applyBorder="1" applyAlignment="1">
      <alignment vertical="center" wrapText="1"/>
    </xf>
    <xf numFmtId="1" fontId="16" fillId="2" borderId="2" xfId="0" applyNumberFormat="1" applyFont="1" applyFill="1" applyBorder="1" applyAlignment="1">
      <alignment horizontal="left" vertical="center"/>
    </xf>
    <xf numFmtId="0" fontId="9" fillId="2" borderId="1" xfId="0" applyFont="1" applyFill="1" applyAlignment="1">
      <alignment horizontal="left"/>
    </xf>
    <xf numFmtId="0" fontId="0" fillId="2" borderId="1" xfId="0" applyFill="1"/>
    <xf numFmtId="0" fontId="5" fillId="0" borderId="0" xfId="0" applyFont="1" applyBorder="1"/>
    <xf numFmtId="0" fontId="9" fillId="0" borderId="2" xfId="0" applyFont="1" applyBorder="1" applyAlignment="1">
      <alignment horizontal="left" vertical="center"/>
    </xf>
    <xf numFmtId="0" fontId="15" fillId="0" borderId="2" xfId="0" quotePrefix="1" applyFont="1" applyBorder="1" applyAlignment="1">
      <alignment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1" fontId="9" fillId="0" borderId="4" xfId="0" applyNumberFormat="1" applyFont="1" applyBorder="1" applyAlignment="1">
      <alignment horizontal="left" vertical="center"/>
    </xf>
    <xf numFmtId="1" fontId="16" fillId="2" borderId="5" xfId="0" applyNumberFormat="1" applyFont="1" applyFill="1" applyBorder="1" applyAlignment="1">
      <alignment horizontal="left" vertical="center"/>
    </xf>
    <xf numFmtId="0" fontId="15" fillId="0" borderId="1" xfId="0" quotePrefix="1" applyFont="1" applyAlignment="1">
      <alignment vertical="center" wrapText="1"/>
    </xf>
    <xf numFmtId="164" fontId="9" fillId="0" borderId="2" xfId="0" applyNumberFormat="1" applyFont="1" applyBorder="1" applyAlignment="1">
      <alignment horizontal="left" vertical="center"/>
    </xf>
    <xf numFmtId="164" fontId="9" fillId="2" borderId="2" xfId="0" applyNumberFormat="1" applyFont="1" applyFill="1" applyBorder="1" applyAlignment="1">
      <alignment horizontal="left" vertical="center"/>
    </xf>
    <xf numFmtId="0" fontId="18" fillId="0" borderId="2" xfId="16" applyFont="1" applyBorder="1"/>
    <xf numFmtId="1" fontId="9" fillId="0" borderId="2" xfId="0" applyNumberFormat="1" applyFont="1" applyBorder="1" applyAlignment="1">
      <alignment horizontal="left"/>
    </xf>
    <xf numFmtId="0" fontId="8" fillId="0" borderId="2" xfId="16" applyBorder="1" applyAlignment="1">
      <alignment vertical="center" wrapText="1"/>
    </xf>
    <xf numFmtId="0" fontId="8" fillId="4" borderId="0" xfId="16" applyFill="1" applyBorder="1" applyAlignment="1">
      <alignment horizontal="center" vertical="center" wrapText="1"/>
    </xf>
    <xf numFmtId="1" fontId="9" fillId="0" borderId="2" xfId="1" applyNumberFormat="1" applyFont="1" applyBorder="1" applyAlignment="1">
      <alignment horizontal="left" vertical="center"/>
    </xf>
    <xf numFmtId="0" fontId="12" fillId="0" borderId="2" xfId="1" applyFont="1" applyBorder="1" applyAlignment="1">
      <alignment horizontal="left" vertical="center" wrapText="1"/>
    </xf>
    <xf numFmtId="0" fontId="13" fillId="0" borderId="2" xfId="1" applyFont="1" applyBorder="1" applyAlignment="1">
      <alignment horizontal="left" vertical="center" wrapText="1"/>
    </xf>
    <xf numFmtId="0" fontId="15" fillId="0" borderId="2" xfId="1" quotePrefix="1" applyFont="1" applyBorder="1" applyAlignment="1">
      <alignment wrapText="1"/>
    </xf>
    <xf numFmtId="0" fontId="5" fillId="0" borderId="2" xfId="0" applyFont="1" applyBorder="1"/>
    <xf numFmtId="1" fontId="17" fillId="5" borderId="2" xfId="0" applyNumberFormat="1" applyFont="1" applyFill="1" applyBorder="1" applyAlignment="1">
      <alignment horizontal="left" vertical="center"/>
    </xf>
    <xf numFmtId="2" fontId="9" fillId="5" borderId="2" xfId="0" applyNumberFormat="1" applyFont="1" applyFill="1" applyBorder="1" applyAlignment="1">
      <alignment horizontal="left"/>
    </xf>
    <xf numFmtId="0" fontId="5" fillId="0" borderId="2" xfId="0" applyFont="1" applyBorder="1" applyAlignment="1">
      <alignment wrapText="1"/>
    </xf>
    <xf numFmtId="0" fontId="0" fillId="5" borderId="2" xfId="0" applyFill="1" applyBorder="1" applyAlignment="1">
      <alignment horizontal="left"/>
    </xf>
    <xf numFmtId="0" fontId="15" fillId="0" borderId="2" xfId="1" quotePrefix="1" applyFont="1" applyBorder="1" applyAlignment="1">
      <alignment vertical="center" wrapText="1"/>
    </xf>
    <xf numFmtId="2" fontId="9" fillId="6" borderId="2" xfId="0" applyNumberFormat="1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5" fillId="5" borderId="2" xfId="0" applyFont="1" applyFill="1" applyBorder="1" applyAlignment="1">
      <alignment horizontal="left"/>
    </xf>
    <xf numFmtId="2" fontId="5" fillId="3" borderId="2" xfId="0" applyNumberFormat="1" applyFont="1" applyFill="1" applyBorder="1" applyAlignment="1">
      <alignment horizontal="left"/>
    </xf>
    <xf numFmtId="2" fontId="5" fillId="5" borderId="2" xfId="0" applyNumberFormat="1" applyFont="1" applyFill="1" applyBorder="1" applyAlignment="1">
      <alignment horizontal="left"/>
    </xf>
    <xf numFmtId="0" fontId="8" fillId="0" borderId="1" xfId="16" applyAlignment="1">
      <alignment vertical="center" wrapText="1"/>
    </xf>
    <xf numFmtId="2" fontId="0" fillId="0" borderId="2" xfId="0" applyNumberForma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0" fillId="3" borderId="2" xfId="0" applyFill="1" applyBorder="1" applyAlignment="1">
      <alignment horizontal="left"/>
    </xf>
    <xf numFmtId="0" fontId="19" fillId="3" borderId="2" xfId="0" applyFont="1" applyFill="1" applyBorder="1" applyAlignment="1">
      <alignment horizontal="left" vertical="center" wrapText="1"/>
    </xf>
    <xf numFmtId="2" fontId="19" fillId="5" borderId="2" xfId="0" applyNumberFormat="1" applyFont="1" applyFill="1" applyBorder="1" applyAlignment="1">
      <alignment horizontal="left" vertical="center" wrapText="1"/>
    </xf>
    <xf numFmtId="0" fontId="0" fillId="0" borderId="1" xfId="0"/>
    <xf numFmtId="0" fontId="0" fillId="0" borderId="2" xfId="0" applyBorder="1"/>
    <xf numFmtId="2" fontId="5" fillId="5" borderId="2" xfId="0" applyNumberFormat="1" applyFont="1" applyFill="1" applyBorder="1" applyAlignment="1">
      <alignment horizontal="left" vertical="center"/>
    </xf>
    <xf numFmtId="1" fontId="20" fillId="2" borderId="2" xfId="0" applyNumberFormat="1" applyFont="1" applyFill="1" applyBorder="1" applyAlignment="1">
      <alignment horizontal="left" vertical="center"/>
    </xf>
    <xf numFmtId="164" fontId="9" fillId="5" borderId="2" xfId="0" applyNumberFormat="1" applyFont="1" applyFill="1" applyBorder="1" applyAlignment="1">
      <alignment horizontal="left" vertical="center"/>
    </xf>
    <xf numFmtId="2" fontId="0" fillId="3" borderId="2" xfId="0" applyNumberForma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2" fontId="0" fillId="5" borderId="2" xfId="0" applyNumberFormat="1" applyFill="1" applyBorder="1" applyAlignment="1">
      <alignment horizontal="left" vertical="center"/>
    </xf>
    <xf numFmtId="2" fontId="0" fillId="5" borderId="2" xfId="0" applyNumberFormat="1" applyFill="1" applyBorder="1" applyAlignment="1">
      <alignment horizontal="left"/>
    </xf>
    <xf numFmtId="1" fontId="9" fillId="2" borderId="2" xfId="0" applyNumberFormat="1" applyFont="1" applyFill="1" applyBorder="1" applyAlignment="1">
      <alignment horizontal="left"/>
    </xf>
    <xf numFmtId="0" fontId="9" fillId="0" borderId="2" xfId="0" applyFont="1" applyBorder="1" applyAlignment="1">
      <alignment wrapText="1"/>
    </xf>
    <xf numFmtId="0" fontId="0" fillId="0" borderId="2" xfId="0" applyBorder="1" applyAlignment="1">
      <alignment horizontal="left"/>
    </xf>
    <xf numFmtId="0" fontId="0" fillId="7" borderId="2" xfId="0" applyFill="1" applyBorder="1" applyAlignment="1">
      <alignment horizontal="left"/>
    </xf>
    <xf numFmtId="2" fontId="9" fillId="7" borderId="2" xfId="0" applyNumberFormat="1" applyFont="1" applyFill="1" applyBorder="1" applyAlignment="1">
      <alignment horizontal="left"/>
    </xf>
    <xf numFmtId="0" fontId="9" fillId="7" borderId="2" xfId="0" applyFont="1" applyFill="1" applyBorder="1" applyAlignment="1">
      <alignment horizontal="left" wrapText="1"/>
    </xf>
    <xf numFmtId="0" fontId="5" fillId="0" borderId="0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0" borderId="2" xfId="0" applyFont="1" applyBorder="1"/>
    <xf numFmtId="0" fontId="5" fillId="0" borderId="0" xfId="0" applyFont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0" fillId="9" borderId="5" xfId="0" applyFill="1" applyBorder="1" applyAlignment="1">
      <alignment horizontal="left"/>
    </xf>
    <xf numFmtId="0" fontId="8" fillId="0" borderId="0" xfId="16" applyBorder="1"/>
    <xf numFmtId="2" fontId="0" fillId="0" borderId="2" xfId="0" applyNumberFormat="1" applyBorder="1"/>
    <xf numFmtId="0" fontId="15" fillId="0" borderId="2" xfId="0" quotePrefix="1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3" borderId="3" xfId="0" applyFill="1" applyBorder="1" applyAlignment="1">
      <alignment horizontal="left"/>
    </xf>
    <xf numFmtId="0" fontId="17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" xfId="0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17" fontId="21" fillId="0" borderId="2" xfId="0" applyNumberFormat="1" applyFont="1" applyBorder="1" applyAlignment="1">
      <alignment horizontal="left" vertical="center" wrapText="1"/>
    </xf>
    <xf numFmtId="17" fontId="21" fillId="0" borderId="2" xfId="0" applyNumberFormat="1" applyFont="1" applyBorder="1" applyAlignment="1">
      <alignment horizontal="left" vertical="center"/>
    </xf>
    <xf numFmtId="0" fontId="21" fillId="0" borderId="2" xfId="0" applyFont="1" applyBorder="1" applyAlignment="1">
      <alignment vertical="center" wrapText="1"/>
    </xf>
    <xf numFmtId="0" fontId="11" fillId="0" borderId="3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/>
    </xf>
    <xf numFmtId="0" fontId="9" fillId="0" borderId="2" xfId="0" applyFont="1" applyBorder="1" applyAlignment="1">
      <alignment horizontal="left" wrapText="1"/>
    </xf>
    <xf numFmtId="0" fontId="10" fillId="6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/>
    </xf>
    <xf numFmtId="0" fontId="22" fillId="0" borderId="2" xfId="0" applyFont="1" applyBorder="1"/>
    <xf numFmtId="0" fontId="22" fillId="0" borderId="2" xfId="0" applyFont="1" applyBorder="1" applyAlignment="1">
      <alignment wrapText="1"/>
    </xf>
    <xf numFmtId="0" fontId="22" fillId="0" borderId="0" xfId="0" applyFont="1" applyBorder="1"/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15" fillId="5" borderId="2" xfId="0" quotePrefix="1" applyFont="1" applyFill="1" applyBorder="1" applyAlignment="1">
      <alignment vertical="center" wrapText="1"/>
    </xf>
    <xf numFmtId="0" fontId="15" fillId="5" borderId="2" xfId="0" quotePrefix="1" applyFont="1" applyFill="1" applyBorder="1" applyAlignment="1">
      <alignment horizontal="left" vertical="center" wrapText="1"/>
    </xf>
    <xf numFmtId="0" fontId="4" fillId="0" borderId="0" xfId="0" quotePrefix="1" applyFont="1" applyBorder="1"/>
    <xf numFmtId="2" fontId="0" fillId="8" borderId="2" xfId="0" applyNumberFormat="1" applyFill="1" applyBorder="1" applyAlignment="1">
      <alignment horizontal="center" vertical="center"/>
    </xf>
  </cellXfs>
  <cellStyles count="27">
    <cellStyle name="Гиперссылка" xfId="16" builtinId="8"/>
    <cellStyle name="Гиперссылка 2" xfId="26" xr:uid="{00000000-0005-0000-0000-00001A000000}"/>
    <cellStyle name="Обычный" xfId="0" builtinId="0"/>
    <cellStyle name="Обычный 10" xfId="9" xr:uid="{00000000-0005-0000-0000-000009000000}"/>
    <cellStyle name="Обычный 10 2" xfId="22" xr:uid="{00000000-0005-0000-0000-000016000000}"/>
    <cellStyle name="Обычный 11" xfId="14" xr:uid="{00000000-0005-0000-0000-00000E000000}"/>
    <cellStyle name="Обычный 11 2" xfId="24" xr:uid="{00000000-0005-0000-0000-000018000000}"/>
    <cellStyle name="Обычный 2" xfId="1" xr:uid="{00000000-0005-0000-0000-000001000000}"/>
    <cellStyle name="Обычный 2 2" xfId="10" xr:uid="{00000000-0005-0000-0000-00000A000000}"/>
    <cellStyle name="Обычный 25" xfId="15" xr:uid="{00000000-0005-0000-0000-00000F000000}"/>
    <cellStyle name="Обычный 25 2" xfId="25" xr:uid="{00000000-0005-0000-0000-000019000000}"/>
    <cellStyle name="Обычный 3" xfId="2" xr:uid="{00000000-0005-0000-0000-000002000000}"/>
    <cellStyle name="Обычный 3 2" xfId="12" xr:uid="{00000000-0005-0000-0000-00000C000000}"/>
    <cellStyle name="Обычный 4" xfId="3" xr:uid="{00000000-0005-0000-0000-000003000000}"/>
    <cellStyle name="Обычный 4 2" xfId="17" xr:uid="{00000000-0005-0000-0000-000011000000}"/>
    <cellStyle name="Обычный 5" xfId="4" xr:uid="{00000000-0005-0000-0000-000004000000}"/>
    <cellStyle name="Обычный 5 2" xfId="11" xr:uid="{00000000-0005-0000-0000-00000B000000}"/>
    <cellStyle name="Обычный 5 2 2" xfId="23" xr:uid="{00000000-0005-0000-0000-000017000000}"/>
    <cellStyle name="Обычный 5 3" xfId="18" xr:uid="{00000000-0005-0000-0000-000012000000}"/>
    <cellStyle name="Обычный 6" xfId="5" xr:uid="{00000000-0005-0000-0000-000005000000}"/>
    <cellStyle name="Обычный 6 2" xfId="19" xr:uid="{00000000-0005-0000-0000-000013000000}"/>
    <cellStyle name="Обычный 7" xfId="6" xr:uid="{00000000-0005-0000-0000-000006000000}"/>
    <cellStyle name="Обычный 7 2" xfId="13" xr:uid="{00000000-0005-0000-0000-00000D000000}"/>
    <cellStyle name="Обычный 8" xfId="7" xr:uid="{00000000-0005-0000-0000-000007000000}"/>
    <cellStyle name="Обычный 8 2" xfId="20" xr:uid="{00000000-0005-0000-0000-000014000000}"/>
    <cellStyle name="Обычный 9" xfId="8" xr:uid="{00000000-0005-0000-0000-000008000000}"/>
    <cellStyle name="Обычный 9 2" xfId="21" xr:uid="{00000000-0005-0000-0000-000015000000}"/>
  </cellStyles>
  <dxfs count="6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8XCIz284AiXV3BK8IqT2FrDMLEvGiTInjZj7ykpUHaE/edit?gid=316769203" TargetMode="External"/><Relationship Id="rId2" Type="http://schemas.openxmlformats.org/officeDocument/2006/relationships/hyperlink" Target="file:///\\Fserv\e\MERA\WORKS\&#1044;&#1057;&#1048;\&#1056;&#1057;&#1057;\3.%20&#1044;&#1086;&#1082;&#1091;&#1084;&#1077;&#1085;&#1090;&#1099;\&#1082;&#1086;&#1084;&#1072;&#1085;&#1076;&#1080;&#1088;&#1086;&#1074;&#1082;&#1080;\&#1044;&#1057;&#1048;%20&#1056;&#1057;&#1057;%20&#1082;&#1086;&#1084;&#1072;&#1085;&#1076;&#1080;&#1088;&#1086;&#1074;&#1082;&#1080;%202023_v01.xlsx" TargetMode="External"/><Relationship Id="rId1" Type="http://schemas.openxmlformats.org/officeDocument/2006/relationships/hyperlink" Target="https://docs.google.com/spreadsheets/d/1mUoVyqMvLxNkew3nU1ZeJ1OjpYy3j-FOVDpqwsZ9BPU/edit?gid=1880034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3">
    <pageSetUpPr fitToPage="1"/>
  </sheetPr>
  <dimension ref="B1:O38"/>
  <sheetViews>
    <sheetView tabSelected="1" topLeftCell="A16" zoomScale="115" zoomScaleNormal="115" workbookViewId="0">
      <selection activeCell="H18" sqref="H18"/>
    </sheetView>
  </sheetViews>
  <sheetFormatPr defaultRowHeight="15" x14ac:dyDescent="0.25"/>
  <cols>
    <col min="1" max="1" width="2.140625" customWidth="1"/>
    <col min="2" max="2" width="14.42578125" customWidth="1"/>
    <col min="3" max="3" width="8.7109375" customWidth="1"/>
    <col min="4" max="4" width="13.85546875" customWidth="1"/>
    <col min="5" max="5" width="9.28515625" customWidth="1"/>
    <col min="6" max="6" width="10.5703125" customWidth="1"/>
    <col min="7" max="7" width="51.85546875" customWidth="1"/>
    <col min="8" max="8" width="9.28515625" customWidth="1"/>
    <col min="9" max="9" width="8" customWidth="1"/>
    <col min="10" max="10" width="13.28515625" customWidth="1"/>
    <col min="11" max="11" width="7.7109375" customWidth="1"/>
    <col min="12" max="12" width="17.5703125" customWidth="1"/>
  </cols>
  <sheetData>
    <row r="1" spans="2:13" x14ac:dyDescent="0.25">
      <c r="G1" s="71" t="s">
        <v>0</v>
      </c>
    </row>
    <row r="2" spans="2:13" x14ac:dyDescent="0.25">
      <c r="G2" s="24" t="s">
        <v>1</v>
      </c>
      <c r="H2" s="68">
        <f>1000/1000000</f>
        <v>1E-3</v>
      </c>
    </row>
    <row r="3" spans="2:13" ht="22.15" customHeight="1" x14ac:dyDescent="0.25">
      <c r="B3" s="9">
        <v>46082</v>
      </c>
      <c r="C3" s="10" t="s">
        <v>2</v>
      </c>
      <c r="G3" s="26" t="s">
        <v>3</v>
      </c>
    </row>
    <row r="4" spans="2:13" ht="44.45" customHeight="1" x14ac:dyDescent="0.25">
      <c r="B4" s="81" t="s">
        <v>4</v>
      </c>
      <c r="C4" s="47">
        <v>279</v>
      </c>
      <c r="D4" s="65" t="s">
        <v>5</v>
      </c>
      <c r="E4" s="54">
        <f>100/3</f>
        <v>33.333333333333336</v>
      </c>
      <c r="G4" s="43"/>
      <c r="H4" s="45" t="s">
        <v>6</v>
      </c>
      <c r="I4" s="46">
        <v>2</v>
      </c>
      <c r="J4" s="35" t="s">
        <v>7</v>
      </c>
      <c r="K4" s="42">
        <f>E4</f>
        <v>33.333333333333336</v>
      </c>
      <c r="L4" s="39"/>
    </row>
    <row r="5" spans="2:13" ht="43.9" customHeight="1" x14ac:dyDescent="0.25">
      <c r="B5" s="82" t="s">
        <v>8</v>
      </c>
      <c r="C5" s="47">
        <v>8</v>
      </c>
      <c r="D5" s="66" t="s">
        <v>9</v>
      </c>
      <c r="E5" s="55">
        <v>0.85</v>
      </c>
      <c r="G5" s="43"/>
      <c r="I5" s="49"/>
      <c r="J5" s="32" t="s">
        <v>10</v>
      </c>
      <c r="K5" s="42">
        <f>Оборот/K7</f>
        <v>19.928571428571427</v>
      </c>
      <c r="L5" s="90" t="s">
        <v>11</v>
      </c>
      <c r="M5" s="42">
        <f>IF(K6/K8&gt;1,1,K6/K8)</f>
        <v>0.83699999999999997</v>
      </c>
    </row>
    <row r="6" spans="2:13" ht="46.15" customHeight="1" x14ac:dyDescent="0.25">
      <c r="B6" s="82" t="s">
        <v>12</v>
      </c>
      <c r="C6" s="48">
        <f>Оборот*C5/(100*12)</f>
        <v>1.86</v>
      </c>
      <c r="D6" s="67" t="s">
        <v>13</v>
      </c>
      <c r="E6" s="56">
        <f>C6*E5</f>
        <v>1.581</v>
      </c>
      <c r="F6" s="32" t="s">
        <v>14</v>
      </c>
      <c r="G6" s="51">
        <f>C6-E6</f>
        <v>0.27900000000000014</v>
      </c>
      <c r="H6" s="59" t="s">
        <v>15</v>
      </c>
      <c r="I6" s="75">
        <v>2000</v>
      </c>
      <c r="J6" s="32" t="s">
        <v>16</v>
      </c>
      <c r="K6" s="36">
        <f>Оборот/K4</f>
        <v>8.3699999999999992</v>
      </c>
      <c r="L6" s="90" t="s">
        <v>17</v>
      </c>
    </row>
    <row r="7" spans="2:13" ht="48.6" customHeight="1" x14ac:dyDescent="0.25">
      <c r="B7" s="83" t="s">
        <v>18</v>
      </c>
      <c r="C7" s="56">
        <f>(1-$E$5)*EXP(-Оборот*(1/$I$6))</f>
        <v>0.13046895348065979</v>
      </c>
      <c r="D7" s="76" t="s">
        <v>19</v>
      </c>
      <c r="E7" s="51">
        <f>C6*C7</f>
        <v>0.24267225347402721</v>
      </c>
      <c r="F7" s="77" t="s">
        <v>20</v>
      </c>
      <c r="G7" s="56">
        <f>E7*1000/Оборот</f>
        <v>0.86979302320439855</v>
      </c>
      <c r="H7" s="78"/>
      <c r="I7" s="79"/>
      <c r="J7" s="77" t="s">
        <v>21</v>
      </c>
      <c r="K7" s="80">
        <f>N_факт</f>
        <v>14</v>
      </c>
      <c r="L7" s="78"/>
    </row>
    <row r="8" spans="2:13" ht="32.450000000000003" customHeight="1" x14ac:dyDescent="0.25">
      <c r="B8" s="35"/>
      <c r="C8" s="44"/>
      <c r="D8" s="32"/>
      <c r="E8" s="50"/>
      <c r="G8" s="57">
        <f>G7*12</f>
        <v>10.437516278452783</v>
      </c>
      <c r="J8" s="32" t="s">
        <v>22</v>
      </c>
      <c r="K8" s="36">
        <f>N_факт-SUM(F34:F36)</f>
        <v>10</v>
      </c>
      <c r="L8" s="41">
        <v>1</v>
      </c>
    </row>
    <row r="9" spans="2:13" ht="21.6" customHeight="1" x14ac:dyDescent="0.25">
      <c r="B9" s="5" t="s">
        <v>23</v>
      </c>
      <c r="C9" s="5" t="s">
        <v>24</v>
      </c>
      <c r="D9" s="5" t="s">
        <v>25</v>
      </c>
      <c r="E9" s="5" t="s">
        <v>26</v>
      </c>
      <c r="F9" s="5" t="s">
        <v>27</v>
      </c>
      <c r="G9" s="5" t="s">
        <v>28</v>
      </c>
      <c r="H9" s="5" t="s">
        <v>29</v>
      </c>
      <c r="I9" s="5" t="s">
        <v>30</v>
      </c>
      <c r="J9" s="5" t="s">
        <v>31</v>
      </c>
    </row>
    <row r="10" spans="2:13" ht="51" customHeight="1" x14ac:dyDescent="0.25">
      <c r="B10" s="6" t="s">
        <v>32</v>
      </c>
      <c r="C10" s="6" t="s">
        <v>33</v>
      </c>
      <c r="D10" s="1">
        <v>170</v>
      </c>
      <c r="E10" s="2">
        <f t="shared" ref="E10:E24" si="0">F10-D10</f>
        <v>15</v>
      </c>
      <c r="F10" s="15">
        <v>185</v>
      </c>
      <c r="G10" s="16" t="s">
        <v>34</v>
      </c>
      <c r="H10" s="15">
        <v>176.053</v>
      </c>
      <c r="I10" s="3">
        <f t="shared" ref="I10:I24" si="1">F10-H10</f>
        <v>8.9470000000000027</v>
      </c>
      <c r="J10" s="60">
        <v>1</v>
      </c>
    </row>
    <row r="11" spans="2:13" ht="33.6" customHeight="1" x14ac:dyDescent="0.25">
      <c r="B11" s="6" t="s">
        <v>35</v>
      </c>
      <c r="C11" s="6" t="s">
        <v>36</v>
      </c>
      <c r="D11" s="1">
        <v>175</v>
      </c>
      <c r="E11" s="11">
        <f t="shared" si="0"/>
        <v>10</v>
      </c>
      <c r="F11" s="15">
        <v>185</v>
      </c>
      <c r="G11" s="94" t="s">
        <v>37</v>
      </c>
      <c r="H11" s="15">
        <v>184.399</v>
      </c>
      <c r="I11" s="4">
        <f t="shared" si="1"/>
        <v>0.60099999999999909</v>
      </c>
      <c r="J11" s="92">
        <v>1</v>
      </c>
    </row>
    <row r="12" spans="2:13" x14ac:dyDescent="0.25">
      <c r="B12" s="6" t="s">
        <v>38</v>
      </c>
      <c r="C12" s="6" t="s">
        <v>39</v>
      </c>
      <c r="D12" s="1">
        <v>220</v>
      </c>
      <c r="E12" s="2">
        <f t="shared" si="0"/>
        <v>25</v>
      </c>
      <c r="F12" s="15">
        <v>245</v>
      </c>
      <c r="G12" s="94" t="s">
        <v>40</v>
      </c>
      <c r="H12" s="15">
        <v>245</v>
      </c>
      <c r="I12" s="3">
        <f t="shared" si="1"/>
        <v>0</v>
      </c>
      <c r="J12" s="60">
        <v>1</v>
      </c>
    </row>
    <row r="13" spans="2:13" ht="51" customHeight="1" x14ac:dyDescent="0.25">
      <c r="B13" s="7" t="s">
        <v>41</v>
      </c>
      <c r="C13" s="6" t="s">
        <v>33</v>
      </c>
      <c r="D13" s="1">
        <v>180</v>
      </c>
      <c r="E13" s="2">
        <f t="shared" si="0"/>
        <v>14.5</v>
      </c>
      <c r="F13" s="15">
        <f>190+4.5</f>
        <v>194.5</v>
      </c>
      <c r="G13" s="73" t="s">
        <v>42</v>
      </c>
      <c r="H13" s="15">
        <v>196.4</v>
      </c>
      <c r="I13" s="3">
        <f t="shared" si="1"/>
        <v>-1.9000000000000057</v>
      </c>
      <c r="J13" s="60">
        <v>1</v>
      </c>
    </row>
    <row r="14" spans="2:13" ht="68.25" customHeight="1" x14ac:dyDescent="0.25">
      <c r="B14" s="30" t="s">
        <v>43</v>
      </c>
      <c r="C14" s="29" t="s">
        <v>44</v>
      </c>
      <c r="D14" s="28">
        <v>140</v>
      </c>
      <c r="E14" s="2">
        <f t="shared" si="0"/>
        <v>25</v>
      </c>
      <c r="F14" s="28">
        <f>155+10</f>
        <v>165</v>
      </c>
      <c r="G14" s="31" t="s">
        <v>45</v>
      </c>
      <c r="H14" s="28">
        <v>165.995</v>
      </c>
      <c r="I14" s="3">
        <f t="shared" si="1"/>
        <v>-0.99500000000000455</v>
      </c>
      <c r="J14" s="46">
        <v>0</v>
      </c>
    </row>
    <row r="15" spans="2:13" ht="33.75" customHeight="1" x14ac:dyDescent="0.25">
      <c r="B15" s="30" t="s">
        <v>46</v>
      </c>
      <c r="C15" s="29" t="s">
        <v>47</v>
      </c>
      <c r="D15" s="28">
        <v>145</v>
      </c>
      <c r="E15" s="2">
        <f t="shared" si="0"/>
        <v>5</v>
      </c>
      <c r="F15" s="28">
        <v>150</v>
      </c>
      <c r="G15" s="37" t="s">
        <v>48</v>
      </c>
      <c r="H15" s="28">
        <v>150</v>
      </c>
      <c r="I15" s="3">
        <f t="shared" si="1"/>
        <v>0</v>
      </c>
      <c r="J15" s="60">
        <v>1</v>
      </c>
    </row>
    <row r="16" spans="2:13" ht="78.75" customHeight="1" x14ac:dyDescent="0.25">
      <c r="B16" s="6" t="s">
        <v>49</v>
      </c>
      <c r="C16" s="6" t="s">
        <v>50</v>
      </c>
      <c r="D16" s="1">
        <v>185</v>
      </c>
      <c r="E16" s="52">
        <f t="shared" si="0"/>
        <v>0</v>
      </c>
      <c r="F16" s="15">
        <v>185</v>
      </c>
      <c r="G16" s="95" t="s">
        <v>51</v>
      </c>
      <c r="H16" s="15">
        <v>167.148</v>
      </c>
      <c r="I16" s="4">
        <f t="shared" si="1"/>
        <v>17.852000000000004</v>
      </c>
      <c r="J16" s="60">
        <v>1</v>
      </c>
    </row>
    <row r="17" spans="2:15" ht="90" customHeight="1" x14ac:dyDescent="0.25">
      <c r="B17" s="6" t="s">
        <v>52</v>
      </c>
      <c r="C17" s="6" t="s">
        <v>53</v>
      </c>
      <c r="D17" s="1">
        <v>180</v>
      </c>
      <c r="E17" s="52">
        <f t="shared" si="0"/>
        <v>15</v>
      </c>
      <c r="F17" s="22">
        <f>185+10</f>
        <v>195</v>
      </c>
      <c r="G17" s="16" t="s">
        <v>54</v>
      </c>
      <c r="H17" s="22">
        <v>185.52600000000001</v>
      </c>
      <c r="I17" s="4">
        <f t="shared" si="1"/>
        <v>9.4739999999999895</v>
      </c>
      <c r="J17" s="92">
        <v>1</v>
      </c>
      <c r="L17" s="64" t="s">
        <v>55</v>
      </c>
    </row>
    <row r="18" spans="2:15" ht="93.75" customHeight="1" x14ac:dyDescent="0.25">
      <c r="B18" s="6" t="s">
        <v>56</v>
      </c>
      <c r="C18" s="6" t="s">
        <v>57</v>
      </c>
      <c r="D18" s="1">
        <v>220</v>
      </c>
      <c r="E18" s="52">
        <f t="shared" si="0"/>
        <v>101.55833807888041</v>
      </c>
      <c r="F18" s="53">
        <f>D18+Kэфф*($E$7*1000)/2</f>
        <v>321.55833807888041</v>
      </c>
      <c r="G18" s="16" t="s">
        <v>58</v>
      </c>
      <c r="H18" s="25">
        <v>308.3</v>
      </c>
      <c r="I18" s="2">
        <f t="shared" si="1"/>
        <v>13.258338078880399</v>
      </c>
      <c r="J18" s="92">
        <v>1</v>
      </c>
      <c r="K18" s="93"/>
      <c r="L18" s="97">
        <f>D18+($E$7-перерасход)*(1000/2)</f>
        <v>161.02778865813326</v>
      </c>
      <c r="N18" s="96"/>
    </row>
    <row r="19" spans="2:15" ht="77.25" customHeight="1" x14ac:dyDescent="0.25">
      <c r="B19" s="6" t="s">
        <v>59</v>
      </c>
      <c r="C19" s="6" t="s">
        <v>60</v>
      </c>
      <c r="D19" s="1">
        <v>250</v>
      </c>
      <c r="E19" s="52">
        <f t="shared" si="0"/>
        <v>104.55833807888041</v>
      </c>
      <c r="F19" s="53">
        <f>D19+Kэфф*($E$7*1000)/2+3</f>
        <v>354.55833807888041</v>
      </c>
      <c r="G19" s="16" t="s">
        <v>61</v>
      </c>
      <c r="H19" s="25">
        <v>352.69900000000001</v>
      </c>
      <c r="I19" s="58">
        <f t="shared" si="1"/>
        <v>1.8593380788803984</v>
      </c>
      <c r="J19" s="60">
        <v>1</v>
      </c>
      <c r="L19" s="97">
        <f>D19+($E$7-перерасход)*(1000/2)</f>
        <v>191.02778865813326</v>
      </c>
      <c r="M19" s="27"/>
      <c r="N19" s="96"/>
    </row>
    <row r="20" spans="2:15" ht="26.25" customHeight="1" x14ac:dyDescent="0.25">
      <c r="B20" s="6" t="s">
        <v>62</v>
      </c>
      <c r="C20" s="6" t="s">
        <v>36</v>
      </c>
      <c r="D20" s="1">
        <v>190</v>
      </c>
      <c r="E20" s="2">
        <f t="shared" si="0"/>
        <v>15</v>
      </c>
      <c r="F20" s="23">
        <v>205</v>
      </c>
      <c r="G20" s="16" t="s">
        <v>63</v>
      </c>
      <c r="H20" s="23">
        <v>205.001</v>
      </c>
      <c r="I20" s="3">
        <f t="shared" si="1"/>
        <v>-1.0000000000047748E-3</v>
      </c>
      <c r="J20" s="60">
        <v>1</v>
      </c>
      <c r="M20" s="27"/>
    </row>
    <row r="21" spans="2:15" ht="24.6" customHeight="1" x14ac:dyDescent="0.25">
      <c r="B21" s="6" t="s">
        <v>64</v>
      </c>
      <c r="C21" s="6" t="s">
        <v>57</v>
      </c>
      <c r="D21" s="1">
        <v>160</v>
      </c>
      <c r="E21" s="2">
        <f t="shared" si="0"/>
        <v>5</v>
      </c>
      <c r="F21" s="22">
        <v>165</v>
      </c>
      <c r="G21" s="94"/>
      <c r="H21" s="22">
        <v>162.50700000000001</v>
      </c>
      <c r="I21" s="3">
        <f t="shared" si="1"/>
        <v>2.492999999999995</v>
      </c>
      <c r="J21" s="46">
        <v>0</v>
      </c>
      <c r="M21" s="27"/>
    </row>
    <row r="22" spans="2:15" ht="101.25" customHeight="1" x14ac:dyDescent="0.25">
      <c r="B22" s="6" t="s">
        <v>65</v>
      </c>
      <c r="C22" s="6" t="s">
        <v>36</v>
      </c>
      <c r="D22" s="1">
        <v>200</v>
      </c>
      <c r="E22" s="11">
        <f t="shared" si="0"/>
        <v>40</v>
      </c>
      <c r="F22" s="22">
        <v>240</v>
      </c>
      <c r="G22" s="16" t="s">
        <v>66</v>
      </c>
      <c r="H22" s="22">
        <v>241.995</v>
      </c>
      <c r="I22" s="3">
        <f t="shared" si="1"/>
        <v>-1.9950000000000045</v>
      </c>
      <c r="J22" s="46">
        <v>0</v>
      </c>
    </row>
    <row r="23" spans="2:15" ht="20.25" customHeight="1" x14ac:dyDescent="0.25">
      <c r="B23" s="6" t="s">
        <v>67</v>
      </c>
      <c r="C23" s="6" t="s">
        <v>36</v>
      </c>
      <c r="D23" s="1">
        <v>170</v>
      </c>
      <c r="E23" s="11">
        <f t="shared" si="0"/>
        <v>10</v>
      </c>
      <c r="F23" s="22">
        <v>180</v>
      </c>
      <c r="G23" s="16" t="s">
        <v>68</v>
      </c>
      <c r="H23" s="22">
        <v>179.999</v>
      </c>
      <c r="I23" s="3">
        <f t="shared" si="1"/>
        <v>1.0000000000047748E-3</v>
      </c>
      <c r="J23" s="46">
        <v>0</v>
      </c>
    </row>
    <row r="24" spans="2:15" ht="22.5" customHeight="1" x14ac:dyDescent="0.25">
      <c r="B24" s="6" t="s">
        <v>69</v>
      </c>
      <c r="C24" s="6" t="s">
        <v>36</v>
      </c>
      <c r="D24" s="1">
        <v>175</v>
      </c>
      <c r="E24" s="11">
        <f t="shared" si="0"/>
        <v>10</v>
      </c>
      <c r="F24" s="22">
        <v>185</v>
      </c>
      <c r="G24" s="16" t="s">
        <v>70</v>
      </c>
      <c r="H24" s="22">
        <v>185.001</v>
      </c>
      <c r="I24" s="3">
        <f t="shared" si="1"/>
        <v>-1.0000000000047748E-3</v>
      </c>
      <c r="J24" s="46">
        <v>0</v>
      </c>
    </row>
    <row r="25" spans="2:15" ht="16.899999999999999" customHeight="1" x14ac:dyDescent="0.25">
      <c r="B25" s="17"/>
      <c r="C25" s="18"/>
      <c r="D25" s="19"/>
      <c r="E25" s="20"/>
      <c r="F25" s="15"/>
      <c r="G25" s="21"/>
      <c r="H25" s="12"/>
      <c r="I25" s="12"/>
    </row>
    <row r="26" spans="2:15" ht="28.9" customHeight="1" x14ac:dyDescent="0.25">
      <c r="E26" s="84" t="s">
        <v>71</v>
      </c>
      <c r="F26" s="33">
        <f>SUMIF(J10:J24,"0",F10:F24)</f>
        <v>935</v>
      </c>
      <c r="G26" s="13"/>
      <c r="H26" s="12"/>
      <c r="I26" s="12"/>
      <c r="J26" s="27"/>
    </row>
    <row r="27" spans="2:15" ht="27.6" customHeight="1" x14ac:dyDescent="0.25">
      <c r="C27" s="35" t="s">
        <v>72</v>
      </c>
      <c r="D27" s="32" t="s">
        <v>73</v>
      </c>
      <c r="E27" s="85" t="s">
        <v>74</v>
      </c>
      <c r="F27" s="34">
        <f>SUM(F10:F24)</f>
        <v>3155.6166761577606</v>
      </c>
      <c r="G27" s="8" t="s">
        <v>75</v>
      </c>
      <c r="H27" s="89" t="s">
        <v>76</v>
      </c>
      <c r="I27" s="36">
        <f>1/K4</f>
        <v>0.03</v>
      </c>
    </row>
    <row r="28" spans="2:15" ht="29.45" customHeight="1" x14ac:dyDescent="0.25">
      <c r="C28" s="44">
        <f>100*12*(F27-F26)/(F29*10^3)</f>
        <v>9.5510394673452073</v>
      </c>
      <c r="D28" s="72" t="str">
        <f>TEXT(F27*1200/(F29*10^3),"0,00")</f>
        <v>13,57</v>
      </c>
      <c r="E28" s="86" t="s">
        <v>77</v>
      </c>
      <c r="F28" s="63" t="str">
        <f>CONCATENATE("Разв.:",TEXT(C28,"0,00"),"; Полн.: ",D28)</f>
        <v>Разв.:9,55; Полн.: 13,57</v>
      </c>
      <c r="G28" s="8" t="s">
        <v>78</v>
      </c>
      <c r="H28" s="90" t="s">
        <v>79</v>
      </c>
      <c r="I28" s="61">
        <f>(C28-C5)*Оборот/(12*100)</f>
        <v>0.36061667615776066</v>
      </c>
    </row>
    <row r="29" spans="2:15" ht="45" customHeight="1" x14ac:dyDescent="0.25">
      <c r="E29" s="87" t="s">
        <v>80</v>
      </c>
      <c r="F29" s="38">
        <f>Оборот</f>
        <v>279</v>
      </c>
      <c r="G29" s="8" t="s">
        <v>81</v>
      </c>
      <c r="H29" s="91"/>
    </row>
    <row r="30" spans="2:15" ht="38.450000000000003" customHeight="1" x14ac:dyDescent="0.25">
      <c r="E30" s="88" t="s">
        <v>82</v>
      </c>
      <c r="F30" s="62">
        <f>AVERAGE(F10:F24)</f>
        <v>210.37444507718405</v>
      </c>
      <c r="G30" s="50"/>
      <c r="H30" s="90" t="s">
        <v>83</v>
      </c>
      <c r="I30" s="61">
        <f>(Оборот*$C$5*1000/(100*12))/$K$6</f>
        <v>222.22222222222226</v>
      </c>
      <c r="J30" s="14" t="s">
        <v>84</v>
      </c>
      <c r="K30" s="69">
        <f>K6</f>
        <v>8.3699999999999992</v>
      </c>
      <c r="L30" s="70">
        <f>I30*Kэфф</f>
        <v>186.00000000000003</v>
      </c>
      <c r="M30" s="14" t="s">
        <v>84</v>
      </c>
      <c r="N30" s="36">
        <f>K8</f>
        <v>10</v>
      </c>
      <c r="O30" s="49"/>
    </row>
    <row r="31" spans="2:15" ht="45.75" customHeight="1" x14ac:dyDescent="0.25">
      <c r="E31" s="88" t="s">
        <v>85</v>
      </c>
      <c r="F31" s="34">
        <v>14</v>
      </c>
      <c r="G31" s="35" t="s">
        <v>86</v>
      </c>
      <c r="H31" s="89" t="s">
        <v>87</v>
      </c>
      <c r="I31" s="40">
        <f>330*M5</f>
        <v>276.20999999999998</v>
      </c>
      <c r="L31" s="64" t="s">
        <v>88</v>
      </c>
      <c r="M31" s="39"/>
    </row>
    <row r="34" spans="5:7" x14ac:dyDescent="0.25">
      <c r="E34" s="32" t="s">
        <v>89</v>
      </c>
      <c r="F34" s="60">
        <v>2</v>
      </c>
      <c r="G34" s="32" t="s">
        <v>90</v>
      </c>
    </row>
    <row r="35" spans="5:7" x14ac:dyDescent="0.25">
      <c r="E35" s="32" t="s">
        <v>91</v>
      </c>
      <c r="F35" s="60">
        <v>1</v>
      </c>
      <c r="G35" s="32" t="s">
        <v>92</v>
      </c>
    </row>
    <row r="36" spans="5:7" x14ac:dyDescent="0.25">
      <c r="E36" s="32" t="s">
        <v>93</v>
      </c>
      <c r="F36" s="60">
        <v>1</v>
      </c>
      <c r="G36" s="32" t="s">
        <v>94</v>
      </c>
    </row>
    <row r="37" spans="5:7" x14ac:dyDescent="0.25">
      <c r="E37" s="32" t="s">
        <v>95</v>
      </c>
      <c r="F37" s="60">
        <v>0.15</v>
      </c>
      <c r="G37" s="32" t="s">
        <v>96</v>
      </c>
    </row>
    <row r="38" spans="5:7" x14ac:dyDescent="0.25">
      <c r="E38" s="32" t="s">
        <v>95</v>
      </c>
      <c r="F38" s="60">
        <v>0.5</v>
      </c>
      <c r="G38" s="32" t="s">
        <v>97</v>
      </c>
    </row>
  </sheetData>
  <conditionalFormatting sqref="I10:I13 I16 I18:I21 I24:I26">
    <cfRule type="cellIs" dxfId="5" priority="8" operator="greaterThan">
      <formula>0</formula>
    </cfRule>
  </conditionalFormatting>
  <conditionalFormatting sqref="I17">
    <cfRule type="cellIs" dxfId="4" priority="6" operator="greaterThan">
      <formula>0</formula>
    </cfRule>
  </conditionalFormatting>
  <conditionalFormatting sqref="I22">
    <cfRule type="cellIs" dxfId="3" priority="4" operator="greaterThan">
      <formula>0</formula>
    </cfRule>
  </conditionalFormatting>
  <conditionalFormatting sqref="I14">
    <cfRule type="cellIs" dxfId="2" priority="3" operator="greaterThan">
      <formula>0</formula>
    </cfRule>
  </conditionalFormatting>
  <conditionalFormatting sqref="I15">
    <cfRule type="cellIs" dxfId="1" priority="2" operator="greaterThan">
      <formula>0</formula>
    </cfRule>
  </conditionalFormatting>
  <conditionalFormatting sqref="I23">
    <cfRule type="cellIs" dxfId="0" priority="1" operator="greaterThan">
      <formula>0</formula>
    </cfRule>
  </conditionalFormatting>
  <hyperlinks>
    <hyperlink ref="G1" r:id="rId1" location="gid=188003400" display="https://docs.google.com/spreadsheets/d/1mUoVyqMvLxNkew3nU1ZeJ1OjpYy3j-FOVDpqwsZ9BPU/edit?gid=188003400#gid=188003400" xr:uid="{00000000-0004-0000-0000-000000000000}"/>
    <hyperlink ref="G2" r:id="rId2" display="&quot;\\Fserv\e\MERA\WORKS\ДСИ\РСС\3. Документы\командировки\ДСИ РСС командировки 2023_v01.xlsx&quot; " xr:uid="{00000000-0004-0000-0000-000001000000}"/>
    <hyperlink ref="G3" r:id="rId3" location="gid=316769203" xr:uid="{00000000-0004-0000-0000-000002000000}"/>
  </hyperlinks>
  <pageMargins left="0.70866141732283472" right="0.70866141732283472" top="0.74803149606299213" bottom="0.74803149606299213" header="0.31496062992125978" footer="0.31496062992125978"/>
  <pageSetup paperSize="9" scale="7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8"/>
  <sheetViews>
    <sheetView workbookViewId="0">
      <selection activeCell="B8" sqref="B8"/>
    </sheetView>
  </sheetViews>
  <sheetFormatPr defaultRowHeight="15" x14ac:dyDescent="0.25"/>
  <cols>
    <col min="2" max="2" width="11.42578125" customWidth="1"/>
    <col min="3" max="3" width="55.42578125" customWidth="1"/>
    <col min="4" max="4" width="8.28515625" customWidth="1"/>
    <col min="5" max="5" width="44.42578125" customWidth="1"/>
  </cols>
  <sheetData>
    <row r="2" spans="2:5" x14ac:dyDescent="0.25">
      <c r="B2" s="32" t="s">
        <v>98</v>
      </c>
      <c r="C2" s="32" t="s">
        <v>99</v>
      </c>
      <c r="D2" s="74">
        <v>0.85</v>
      </c>
      <c r="E2" s="32" t="s">
        <v>100</v>
      </c>
    </row>
    <row r="3" spans="2:5" ht="65.45" customHeight="1" x14ac:dyDescent="0.25">
      <c r="B3" s="32" t="s">
        <v>101</v>
      </c>
      <c r="C3" s="35" t="s">
        <v>102</v>
      </c>
      <c r="D3" s="74">
        <v>2000</v>
      </c>
      <c r="E3" s="35" t="s">
        <v>103</v>
      </c>
    </row>
    <row r="4" spans="2:5" x14ac:dyDescent="0.25">
      <c r="B4" s="32" t="s">
        <v>6</v>
      </c>
      <c r="C4" s="32" t="s">
        <v>104</v>
      </c>
    </row>
    <row r="5" spans="2:5" ht="78" customHeight="1" x14ac:dyDescent="0.25">
      <c r="B5" s="32" t="s">
        <v>85</v>
      </c>
      <c r="C5" s="35" t="s">
        <v>105</v>
      </c>
    </row>
    <row r="6" spans="2:5" x14ac:dyDescent="0.25">
      <c r="B6" s="32" t="s">
        <v>106</v>
      </c>
      <c r="C6" s="32" t="s">
        <v>107</v>
      </c>
    </row>
    <row r="7" spans="2:5" ht="36.6" customHeight="1" x14ac:dyDescent="0.25">
      <c r="B7" s="32" t="s">
        <v>108</v>
      </c>
      <c r="C7" s="35" t="s">
        <v>109</v>
      </c>
    </row>
    <row r="8" spans="2:5" ht="103.9" customHeight="1" x14ac:dyDescent="0.25">
      <c r="B8" s="35" t="s">
        <v>110</v>
      </c>
      <c r="C8" s="3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Итог</vt:lpstr>
      <vt:lpstr>Инструкция</vt:lpstr>
      <vt:lpstr>Kэфф</vt:lpstr>
      <vt:lpstr>N_факт</vt:lpstr>
      <vt:lpstr>Оборот</vt:lpstr>
      <vt:lpstr>перерасход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 2.1 Full</dc:creator>
  <cp:lastModifiedBy>User</cp:lastModifiedBy>
  <cp:lastPrinted>2025-03-19T12:40:52Z</cp:lastPrinted>
  <dcterms:created xsi:type="dcterms:W3CDTF">2014-04-29T13:15:21Z</dcterms:created>
  <dcterms:modified xsi:type="dcterms:W3CDTF">2026-06-26T08:28:20Z</dcterms:modified>
</cp:coreProperties>
</file>