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380" yWindow="20" windowWidth="15250" windowHeight="10060" tabRatio="600" firstSheet="2" activeTab="2" autoFilterDateGrouping="1"/>
  </bookViews>
  <sheets>
    <sheet xmlns:r="http://schemas.openxmlformats.org/officeDocument/2006/relationships" name="все" sheetId="1" state="hidden" r:id="rId1"/>
    <sheet xmlns:r="http://schemas.openxmlformats.org/officeDocument/2006/relationships" name="архив" sheetId="2" state="hidden" r:id="rId2"/>
    <sheet xmlns:r="http://schemas.openxmlformats.org/officeDocument/2006/relationships" name="Итог" sheetId="3" state="visible" r:id="rId3"/>
    <sheet xmlns:r="http://schemas.openxmlformats.org/officeDocument/2006/relationships" name="Инструкция" sheetId="4" state="visible" r:id="rId4"/>
  </sheets>
  <definedNames>
    <definedName name="Kэфф">Итог!$M$5</definedName>
    <definedName name="N_факт">Итог!$F$31</definedName>
    <definedName name="Оборот">Итог!$C$4</definedName>
    <definedName name="перерасход">Итог!$I$28</definedName>
    <definedName name="Процент">#REF!</definedName>
    <definedName name="Чел_мес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color rgb="FF000000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rgb="FFFF0000"/>
      <sz val="11"/>
    </font>
    <font>
      <name val="Calibri"/>
      <charset val="204"/>
      <family val="2"/>
      <color rgb="FF000000"/>
      <sz val="11"/>
    </font>
    <font>
      <name val="Arial"/>
      <family val="2"/>
      <sz val="8"/>
    </font>
    <font>
      <name val="Calibri"/>
      <charset val="204"/>
      <family val="2"/>
      <color rgb="FF000000"/>
      <sz val="11"/>
    </font>
    <font>
      <name val="Calibri"/>
      <charset val="204"/>
      <family val="2"/>
      <color theme="10"/>
      <sz val="11"/>
      <u val="single"/>
    </font>
    <font>
      <name val="Calibri"/>
      <charset val="204"/>
      <family val="2"/>
      <color rgb="FF000000"/>
      <sz val="9"/>
    </font>
    <font>
      <name val="Calibri"/>
      <charset val="204"/>
      <family val="2"/>
      <b val="1"/>
      <color rgb="FF000000"/>
      <sz val="8"/>
    </font>
    <font>
      <name val="Arial"/>
      <charset val="204"/>
      <family val="2"/>
      <b val="1"/>
      <color rgb="FF000000"/>
      <sz val="8"/>
    </font>
    <font>
      <name val="Arial"/>
      <charset val="204"/>
      <family val="2"/>
      <color rgb="FF000000"/>
      <sz val="8"/>
    </font>
    <font>
      <name val="Arial"/>
      <charset val="204"/>
      <family val="2"/>
      <color theme="1"/>
      <sz val="8"/>
    </font>
    <font>
      <name val="Arial"/>
      <charset val="204"/>
      <family val="2"/>
      <b val="1"/>
      <color rgb="FF000000"/>
      <sz val="10"/>
    </font>
    <font>
      <name val="Calibri"/>
      <charset val="204"/>
      <family val="2"/>
      <color rgb="FF000000"/>
      <sz val="8"/>
    </font>
    <font>
      <name val="Calibri"/>
      <charset val="204"/>
      <family val="2"/>
      <color rgb="FFFF0000"/>
      <sz val="9"/>
    </font>
    <font>
      <name val="Calibri"/>
      <charset val="204"/>
      <family val="2"/>
      <b val="1"/>
      <color rgb="FF000000"/>
      <sz val="9"/>
    </font>
    <font>
      <name val="Calibri"/>
      <charset val="204"/>
      <family val="2"/>
      <color theme="10"/>
      <sz val="10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sz val="9"/>
    </font>
    <font>
      <name val="Calibri"/>
      <charset val="204"/>
      <family val="2"/>
      <sz val="8"/>
    </font>
    <font>
      <name val="Calibri"/>
      <charset val="204"/>
      <family val="2"/>
      <b val="1"/>
      <color rgb="FF000000"/>
      <sz val="10"/>
    </font>
    <font>
      <name val="Calibri"/>
      <charset val="204"/>
      <family val="2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27">
    <xf numFmtId="0" fontId="0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1" fillId="0" borderId="8"/>
    <xf numFmtId="0" fontId="6" fillId="0" borderId="8"/>
    <xf numFmtId="0" fontId="1" fillId="0" borderId="8"/>
    <xf numFmtId="0" fontId="7" fillId="0" borderId="8"/>
    <xf numFmtId="0" fontId="7" fillId="0" borderId="8"/>
    <xf numFmtId="0" fontId="7" fillId="0" borderId="8"/>
    <xf numFmtId="0" fontId="1" fillId="0" borderId="8"/>
    <xf numFmtId="0" fontId="8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1" fillId="0" borderId="8"/>
    <xf numFmtId="0" fontId="1" fillId="0" borderId="8"/>
    <xf numFmtId="0" fontId="7" fillId="0" borderId="8"/>
    <xf numFmtId="0" fontId="1" fillId="0" borderId="8"/>
    <xf numFmtId="0" fontId="8" fillId="0" borderId="8"/>
  </cellStyleXfs>
  <cellXfs count="146">
    <xf numFmtId="0" fontId="0" fillId="0" borderId="0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13" pivotButton="0" quotePrefix="0" xfId="0"/>
    <xf numFmtId="0" fontId="0" fillId="0" borderId="27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21" pivotButton="0" quotePrefix="0" xfId="0"/>
    <xf numFmtId="0" fontId="0" fillId="0" borderId="19" pivotButton="0" quotePrefix="0" xfId="0"/>
    <xf numFmtId="0" fontId="3" fillId="0" borderId="26" pivotButton="0" quotePrefix="0" xfId="0"/>
    <xf numFmtId="164" fontId="0" fillId="0" borderId="26" pivotButton="0" quotePrefix="0" xfId="0"/>
    <xf numFmtId="164" fontId="0" fillId="0" borderId="23" pivotButton="0" quotePrefix="0" xfId="0"/>
    <xf numFmtId="164" fontId="0" fillId="0" borderId="24" pivotButton="0" quotePrefix="0" xfId="0"/>
    <xf numFmtId="164" fontId="0" fillId="0" borderId="25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164" fontId="0" fillId="0" borderId="29" pivotButton="0" quotePrefix="0" xfId="0"/>
    <xf numFmtId="2" fontId="0" fillId="0" borderId="27" pivotButton="0" quotePrefix="0" xfId="0"/>
    <xf numFmtId="164" fontId="0" fillId="0" borderId="16" pivotButton="0" quotePrefix="0" xfId="0"/>
    <xf numFmtId="2" fontId="0" fillId="0" borderId="18" pivotButton="0" quotePrefix="0" xfId="0"/>
    <xf numFmtId="164" fontId="0" fillId="0" borderId="15" pivotButton="0" quotePrefix="0" xfId="0"/>
    <xf numFmtId="1" fontId="0" fillId="0" borderId="18" pivotButton="0" quotePrefix="0" xfId="0"/>
    <xf numFmtId="164" fontId="0" fillId="0" borderId="20" pivotButton="0" quotePrefix="0" xfId="0"/>
    <xf numFmtId="0" fontId="0" fillId="0" borderId="22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2" borderId="30" applyAlignment="1" pivotButton="0" quotePrefix="0" xfId="0">
      <alignment vertical="center" textRotation="90"/>
    </xf>
    <xf numFmtId="0" fontId="0" fillId="0" borderId="12" pivotButton="0" quotePrefix="0" xfId="0"/>
    <xf numFmtId="0" fontId="0" fillId="0" borderId="14" pivotButton="0" quotePrefix="0" xfId="0"/>
    <xf numFmtId="0" fontId="0" fillId="0" borderId="20" pivotButton="0" quotePrefix="0" xfId="0"/>
    <xf numFmtId="0" fontId="4" fillId="0" borderId="26" pivotButton="0" quotePrefix="0" xfId="0"/>
    <xf numFmtId="1" fontId="0" fillId="0" borderId="15" pivotButton="0" quotePrefix="0" xfId="0"/>
    <xf numFmtId="1" fontId="9" fillId="0" borderId="32" applyAlignment="1" pivotButton="0" quotePrefix="0" xfId="0">
      <alignment horizontal="left" vertical="center"/>
    </xf>
    <xf numFmtId="1" fontId="9" fillId="3" borderId="32" applyAlignment="1" pivotButton="0" quotePrefix="0" xfId="0">
      <alignment horizontal="left" vertical="center"/>
    </xf>
    <xf numFmtId="0" fontId="9" fillId="3" borderId="32" applyAlignment="1" pivotButton="0" quotePrefix="0" xfId="0">
      <alignment horizontal="left"/>
    </xf>
    <xf numFmtId="0" fontId="9" fillId="3" borderId="32" applyAlignment="1" pivotButton="0" quotePrefix="0" xfId="0">
      <alignment horizontal="left" vertical="center"/>
    </xf>
    <xf numFmtId="0" fontId="11" fillId="4" borderId="32" applyAlignment="1" pivotButton="0" quotePrefix="0" xfId="0">
      <alignment horizontal="left" vertical="center" wrapText="1"/>
    </xf>
    <xf numFmtId="0" fontId="12" fillId="0" borderId="32" applyAlignment="1" pivotButton="0" quotePrefix="0" xfId="0">
      <alignment horizontal="left" vertical="center" wrapText="1"/>
    </xf>
    <xf numFmtId="0" fontId="13" fillId="0" borderId="32" applyAlignment="1" pivotButton="0" quotePrefix="0" xfId="0">
      <alignment horizontal="left" vertical="center" wrapText="1"/>
    </xf>
    <xf numFmtId="0" fontId="9" fillId="0" borderId="32" pivotButton="0" quotePrefix="0" xfId="0"/>
    <xf numFmtId="17" fontId="3" fillId="0" borderId="32" applyAlignment="1" pivotButton="0" quotePrefix="0" xfId="0">
      <alignment horizontal="left" vertical="center"/>
    </xf>
    <xf numFmtId="0" fontId="14" fillId="0" borderId="32" applyAlignment="1" pivotButton="0" quotePrefix="0" xfId="0">
      <alignment vertical="center" wrapText="1"/>
    </xf>
    <xf numFmtId="1" fontId="16" fillId="3" borderId="32" applyAlignment="1" pivotButton="0" quotePrefix="0" xfId="0">
      <alignment horizontal="left" vertical="center"/>
    </xf>
    <xf numFmtId="0" fontId="9" fillId="3" borderId="8" applyAlignment="1" pivotButton="0" quotePrefix="0" xfId="0">
      <alignment horizontal="left"/>
    </xf>
    <xf numFmtId="0" fontId="0" fillId="3" borderId="8" pivotButton="0" quotePrefix="0" xfId="0"/>
    <xf numFmtId="0" fontId="5" fillId="0" borderId="0" pivotButton="0" quotePrefix="0" xfId="0"/>
    <xf numFmtId="0" fontId="9" fillId="0" borderId="32" applyAlignment="1" pivotButton="0" quotePrefix="0" xfId="0">
      <alignment horizontal="left" vertical="center"/>
    </xf>
    <xf numFmtId="0" fontId="15" fillId="0" borderId="32" applyAlignment="1" pivotButton="0" quotePrefix="1" xfId="0">
      <alignment vertical="center" wrapText="1"/>
    </xf>
    <xf numFmtId="0" fontId="12" fillId="0" borderId="33" applyAlignment="1" pivotButton="0" quotePrefix="0" xfId="0">
      <alignment horizontal="left" vertical="center" wrapText="1"/>
    </xf>
    <xf numFmtId="0" fontId="12" fillId="0" borderId="34" applyAlignment="1" pivotButton="0" quotePrefix="0" xfId="0">
      <alignment horizontal="left" vertical="center" wrapText="1"/>
    </xf>
    <xf numFmtId="1" fontId="9" fillId="0" borderId="34" applyAlignment="1" pivotButton="0" quotePrefix="0" xfId="0">
      <alignment horizontal="left" vertical="center"/>
    </xf>
    <xf numFmtId="1" fontId="16" fillId="3" borderId="35" applyAlignment="1" pivotButton="0" quotePrefix="0" xfId="0">
      <alignment horizontal="left" vertical="center"/>
    </xf>
    <xf numFmtId="0" fontId="15" fillId="0" borderId="8" applyAlignment="1" pivotButton="0" quotePrefix="1" xfId="0">
      <alignment vertical="center" wrapText="1"/>
    </xf>
    <xf numFmtId="164" fontId="9" fillId="0" borderId="32" applyAlignment="1" pivotButton="0" quotePrefix="0" xfId="0">
      <alignment horizontal="left" vertical="center"/>
    </xf>
    <xf numFmtId="164" fontId="9" fillId="3" borderId="32" applyAlignment="1" pivotButton="0" quotePrefix="0" xfId="0">
      <alignment horizontal="left" vertical="center"/>
    </xf>
    <xf numFmtId="0" fontId="18" fillId="0" borderId="32" pivotButton="0" quotePrefix="0" xfId="16"/>
    <xf numFmtId="1" fontId="9" fillId="0" borderId="32" applyAlignment="1" pivotButton="0" quotePrefix="0" xfId="0">
      <alignment horizontal="left"/>
    </xf>
    <xf numFmtId="0" fontId="8" fillId="0" borderId="32" applyAlignment="1" pivotButton="0" quotePrefix="0" xfId="16">
      <alignment vertical="center" wrapText="1"/>
    </xf>
    <xf numFmtId="0" fontId="8" fillId="5" borderId="0" applyAlignment="1" pivotButton="0" quotePrefix="0" xfId="16">
      <alignment horizontal="center" vertical="center" wrapText="1"/>
    </xf>
    <xf numFmtId="0" fontId="12" fillId="0" borderId="32" applyAlignment="1" pivotButton="0" quotePrefix="0" xfId="1">
      <alignment horizontal="left" vertical="center" wrapText="1"/>
    </xf>
    <xf numFmtId="0" fontId="13" fillId="0" borderId="32" applyAlignment="1" pivotButton="0" quotePrefix="0" xfId="1">
      <alignment horizontal="left" vertical="center" wrapText="1"/>
    </xf>
    <xf numFmtId="0" fontId="15" fillId="0" borderId="32" applyAlignment="1" pivotButton="0" quotePrefix="1" xfId="1">
      <alignment wrapText="1"/>
    </xf>
    <xf numFmtId="1" fontId="9" fillId="0" borderId="32" applyAlignment="1" pivotButton="0" quotePrefix="0" xfId="1">
      <alignment horizontal="left" vertical="center"/>
    </xf>
    <xf numFmtId="0" fontId="5" fillId="0" borderId="32" pivotButton="0" quotePrefix="0" xfId="0"/>
    <xf numFmtId="1" fontId="17" fillId="6" borderId="32" applyAlignment="1" pivotButton="0" quotePrefix="0" xfId="0">
      <alignment horizontal="left" vertical="center"/>
    </xf>
    <xf numFmtId="2" fontId="9" fillId="6" borderId="32" applyAlignment="1" pivotButton="0" quotePrefix="0" xfId="0">
      <alignment horizontal="left"/>
    </xf>
    <xf numFmtId="0" fontId="5" fillId="0" borderId="32" applyAlignment="1" pivotButton="0" quotePrefix="0" xfId="0">
      <alignment wrapText="1"/>
    </xf>
    <xf numFmtId="0" fontId="0" fillId="6" borderId="32" applyAlignment="1" pivotButton="0" quotePrefix="0" xfId="0">
      <alignment horizontal="left"/>
    </xf>
    <xf numFmtId="0" fontId="15" fillId="0" borderId="32" applyAlignment="1" pivotButton="0" quotePrefix="1" xfId="1">
      <alignment vertical="center" wrapText="1"/>
    </xf>
    <xf numFmtId="2" fontId="9" fillId="7" borderId="3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6" borderId="32" applyAlignment="1" pivotButton="0" quotePrefix="0" xfId="0">
      <alignment horizontal="left"/>
    </xf>
    <xf numFmtId="2" fontId="5" fillId="4" borderId="32" applyAlignment="1" pivotButton="0" quotePrefix="0" xfId="0">
      <alignment horizontal="left"/>
    </xf>
    <xf numFmtId="2" fontId="5" fillId="6" borderId="32" applyAlignment="1" pivotButton="0" quotePrefix="0" xfId="0">
      <alignment horizontal="left"/>
    </xf>
    <xf numFmtId="0" fontId="8" fillId="0" borderId="8" applyAlignment="1" pivotButton="0" quotePrefix="0" xfId="16">
      <alignment vertical="center" wrapText="1"/>
    </xf>
    <xf numFmtId="2" fontId="0" fillId="0" borderId="32" applyAlignment="1" pivotButton="0" quotePrefix="0" xfId="0">
      <alignment horizontal="left"/>
    </xf>
    <xf numFmtId="0" fontId="5" fillId="0" borderId="32" applyAlignment="1" pivotButton="0" quotePrefix="0" xfId="0">
      <alignment horizontal="left"/>
    </xf>
    <xf numFmtId="0" fontId="0" fillId="4" borderId="32" applyAlignment="1" pivotButton="0" quotePrefix="0" xfId="0">
      <alignment horizontal="left"/>
    </xf>
    <xf numFmtId="0" fontId="19" fillId="4" borderId="32" applyAlignment="1" pivotButton="0" quotePrefix="0" xfId="0">
      <alignment horizontal="left" vertical="center" wrapText="1"/>
    </xf>
    <xf numFmtId="2" fontId="19" fillId="6" borderId="32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32" pivotButton="0" quotePrefix="0" xfId="0"/>
    <xf numFmtId="2" fontId="5" fillId="6" borderId="32" applyAlignment="1" pivotButton="0" quotePrefix="0" xfId="0">
      <alignment horizontal="left" vertical="center"/>
    </xf>
    <xf numFmtId="1" fontId="20" fillId="3" borderId="32" applyAlignment="1" pivotButton="0" quotePrefix="0" xfId="0">
      <alignment horizontal="left" vertical="center"/>
    </xf>
    <xf numFmtId="164" fontId="9" fillId="6" borderId="32" applyAlignment="1" pivotButton="0" quotePrefix="0" xfId="0">
      <alignment horizontal="left" vertical="center"/>
    </xf>
    <xf numFmtId="2" fontId="0" fillId="4" borderId="32" applyAlignment="1" pivotButton="0" quotePrefix="0" xfId="0">
      <alignment horizontal="left" vertical="center"/>
    </xf>
    <xf numFmtId="0" fontId="0" fillId="4" borderId="32" applyAlignment="1" pivotButton="0" quotePrefix="0" xfId="0">
      <alignment horizontal="left" vertical="center"/>
    </xf>
    <xf numFmtId="2" fontId="0" fillId="6" borderId="32" applyAlignment="1" pivotButton="0" quotePrefix="0" xfId="0">
      <alignment horizontal="left" vertical="center"/>
    </xf>
    <xf numFmtId="2" fontId="0" fillId="6" borderId="32" applyAlignment="1" pivotButton="0" quotePrefix="0" xfId="0">
      <alignment horizontal="left"/>
    </xf>
    <xf numFmtId="1" fontId="9" fillId="3" borderId="32" applyAlignment="1" pivotButton="0" quotePrefix="0" xfId="0">
      <alignment horizontal="left"/>
    </xf>
    <xf numFmtId="0" fontId="9" fillId="0" borderId="32" applyAlignment="1" pivotButton="0" quotePrefix="0" xfId="0">
      <alignment wrapText="1"/>
    </xf>
    <xf numFmtId="0" fontId="0" fillId="0" borderId="32" applyAlignment="1" pivotButton="0" quotePrefix="0" xfId="0">
      <alignment horizontal="left"/>
    </xf>
    <xf numFmtId="0" fontId="0" fillId="8" borderId="32" applyAlignment="1" pivotButton="0" quotePrefix="0" xfId="0">
      <alignment horizontal="left"/>
    </xf>
    <xf numFmtId="2" fontId="9" fillId="8" borderId="32" applyAlignment="1" pivotButton="0" quotePrefix="0" xfId="0">
      <alignment horizontal="left"/>
    </xf>
    <xf numFmtId="0" fontId="9" fillId="8" borderId="32" applyAlignment="1" pivotButton="0" quotePrefix="0" xfId="0">
      <alignment horizontal="left" wrapText="1"/>
    </xf>
    <xf numFmtId="2" fontId="0" fillId="9" borderId="32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9" fillId="0" borderId="35" applyAlignment="1" pivotButton="0" quotePrefix="0" xfId="0">
      <alignment wrapText="1"/>
    </xf>
    <xf numFmtId="0" fontId="17" fillId="0" borderId="32" applyAlignment="1" pivotButton="0" quotePrefix="0" xfId="0">
      <alignment wrapText="1"/>
    </xf>
    <xf numFmtId="0" fontId="17" fillId="0" borderId="32" pivotButton="0" quotePrefix="0" xfId="0"/>
    <xf numFmtId="0" fontId="5" fillId="0" borderId="0" applyAlignment="1" pivotButton="0" quotePrefix="0" xfId="0">
      <alignment horizontal="left"/>
    </xf>
    <xf numFmtId="0" fontId="2" fillId="6" borderId="32" applyAlignment="1" pivotButton="0" quotePrefix="0" xfId="0">
      <alignment horizontal="left"/>
    </xf>
    <xf numFmtId="0" fontId="0" fillId="10" borderId="35" applyAlignment="1" pivotButton="0" quotePrefix="0" xfId="0">
      <alignment horizontal="left"/>
    </xf>
    <xf numFmtId="0" fontId="8" fillId="0" borderId="0" pivotButton="0" quotePrefix="0" xfId="16"/>
    <xf numFmtId="2" fontId="0" fillId="0" borderId="32" pivotButton="0" quotePrefix="0" xfId="0"/>
    <xf numFmtId="0" fontId="15" fillId="0" borderId="32" applyAlignment="1" pivotButton="0" quotePrefix="1" xfId="0">
      <alignment horizontal="left" vertical="center" wrapText="1"/>
    </xf>
    <xf numFmtId="0" fontId="0" fillId="0" borderId="32" applyAlignment="1" pivotButton="0" quotePrefix="0" xfId="0">
      <alignment horizontal="center"/>
    </xf>
    <xf numFmtId="0" fontId="0" fillId="4" borderId="33" applyAlignment="1" pivotButton="0" quotePrefix="0" xfId="0">
      <alignment horizontal="left"/>
    </xf>
    <xf numFmtId="0" fontId="17" fillId="0" borderId="32" applyAlignment="1" pivotButton="0" quotePrefix="0" xfId="0">
      <alignment horizontal="left" vertical="center"/>
    </xf>
    <xf numFmtId="0" fontId="5" fillId="0" borderId="3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6" borderId="32" applyAlignment="1" pivotButton="0" quotePrefix="0" xfId="0">
      <alignment horizontal="left" vertical="center"/>
    </xf>
    <xf numFmtId="17" fontId="22" fillId="0" borderId="32" applyAlignment="1" pivotButton="0" quotePrefix="0" xfId="0">
      <alignment horizontal="left" vertical="center" wrapText="1"/>
    </xf>
    <xf numFmtId="17" fontId="22" fillId="0" borderId="32" applyAlignment="1" pivotButton="0" quotePrefix="0" xfId="0">
      <alignment horizontal="left" vertical="center"/>
    </xf>
    <xf numFmtId="0" fontId="22" fillId="0" borderId="32" applyAlignment="1" pivotButton="0" quotePrefix="0" xfId="0">
      <alignment vertical="center" wrapText="1"/>
    </xf>
    <xf numFmtId="0" fontId="11" fillId="0" borderId="33" applyAlignment="1" pivotButton="0" quotePrefix="0" xfId="0">
      <alignment horizontal="left" vertical="center" wrapText="1"/>
    </xf>
    <xf numFmtId="0" fontId="17" fillId="0" borderId="32" applyAlignment="1" pivotButton="0" quotePrefix="0" xfId="0">
      <alignment horizontal="left"/>
    </xf>
    <xf numFmtId="0" fontId="9" fillId="0" borderId="32" applyAlignment="1" pivotButton="0" quotePrefix="0" xfId="0">
      <alignment horizontal="left" wrapText="1"/>
    </xf>
    <xf numFmtId="0" fontId="10" fillId="7" borderId="32" applyAlignment="1" pivotButton="0" quotePrefix="0" xfId="0">
      <alignment horizontal="left" wrapText="1"/>
    </xf>
    <xf numFmtId="0" fontId="3" fillId="0" borderId="32" applyAlignment="1" pivotButton="0" quotePrefix="0" xfId="0">
      <alignment horizontal="left"/>
    </xf>
    <xf numFmtId="0" fontId="23" fillId="0" borderId="32" pivotButton="0" quotePrefix="0" xfId="0"/>
    <xf numFmtId="0" fontId="23" fillId="0" borderId="32" applyAlignment="1" pivotButton="0" quotePrefix="0" xfId="0">
      <alignment wrapText="1"/>
    </xf>
    <xf numFmtId="0" fontId="23" fillId="0" borderId="0" pivotButton="0" quotePrefix="0" xfId="0"/>
    <xf numFmtId="0" fontId="21" fillId="0" borderId="32" applyAlignment="1" pivotButton="0" quotePrefix="1" xfId="0">
      <alignment vertical="center" wrapText="1"/>
    </xf>
    <xf numFmtId="0" fontId="0" fillId="0" borderId="32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2" fontId="0" fillId="9" borderId="32" applyAlignment="1" pivotButton="0" quotePrefix="0" xfId="0">
      <alignment horizontal="left" vertical="center"/>
    </xf>
    <xf numFmtId="0" fontId="15" fillId="6" borderId="32" applyAlignment="1" pivotButton="0" quotePrefix="1" xfId="0">
      <alignment vertical="center" wrapText="1"/>
    </xf>
    <xf numFmtId="0" fontId="15" fillId="6" borderId="32" applyAlignment="1" pivotButton="0" quotePrefix="1" xfId="0">
      <alignment horizontal="left" vertical="center" wrapText="1"/>
    </xf>
    <xf numFmtId="0" fontId="4" fillId="0" borderId="0" pivotButton="0" quotePrefix="1" xfId="0"/>
    <xf numFmtId="0" fontId="0" fillId="0" borderId="0" pivotButton="0" quotePrefix="0" xfId="0"/>
    <xf numFmtId="0" fontId="0" fillId="0" borderId="30" applyAlignment="1" pivotButton="0" quotePrefix="0" xfId="0">
      <alignment horizontal="center" vertical="center" textRotation="90"/>
    </xf>
    <xf numFmtId="0" fontId="0" fillId="0" borderId="10" pivotButton="0" quotePrefix="0" xfId="0"/>
    <xf numFmtId="0" fontId="0" fillId="0" borderId="31" applyAlignment="1" pivotButton="0" quotePrefix="0" xfId="0">
      <alignment horizontal="center"/>
    </xf>
    <xf numFmtId="0" fontId="0" fillId="0" borderId="31" pivotButton="0" quotePrefix="0" xfId="0"/>
    <xf numFmtId="0" fontId="0" fillId="0" borderId="9" applyAlignment="1" pivotButton="0" quotePrefix="0" xfId="0">
      <alignment horizontal="center"/>
    </xf>
    <xf numFmtId="0" fontId="0" fillId="0" borderId="9" pivotButton="0" quotePrefix="0" xfId="0"/>
    <xf numFmtId="0" fontId="0" fillId="0" borderId="0" pivotButton="0" quotePrefix="0" xfId="0"/>
  </cellXfs>
  <cellStyles count="27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  <cellStyle name="Обычный 10" xfId="9"/>
    <cellStyle name="Обычный 2 2" xfId="10"/>
    <cellStyle name="Обычный 5 2" xfId="11"/>
    <cellStyle name="Обычный 3 2" xfId="12"/>
    <cellStyle name="Обычный 7 2" xfId="13"/>
    <cellStyle name="Обычный 11" xfId="14"/>
    <cellStyle name="Обычный 25" xfId="15"/>
    <cellStyle name="Гиперссылка" xfId="16" builtinId="8"/>
    <cellStyle name="Обычный 4 2" xfId="17"/>
    <cellStyle name="Обычный 5 3" xfId="18"/>
    <cellStyle name="Обычный 6 2" xfId="19"/>
    <cellStyle name="Обычный 8 2" xfId="20"/>
    <cellStyle name="Обычный 9 2" xfId="21"/>
    <cellStyle name="Обычный 10 2" xfId="22"/>
    <cellStyle name="Обычный 5 2 2" xfId="23"/>
    <cellStyle name="Обычный 11 2" xfId="24"/>
    <cellStyle name="Обычный 25 2" xfId="25"/>
    <cellStyle name="Гиперссылка 2" xfId="26"/>
  </cellStyles>
  <dxfs count="6"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ocs.google.com/spreadsheets/d/1mUoVyqMvLxNkew3nU1ZeJ1OjpYy3j-FOVDpqwsZ9BPU/edit?gid=188003400" TargetMode="External" Id="rId1"/><Relationship Type="http://schemas.openxmlformats.org/officeDocument/2006/relationships/hyperlink" Target="file:///\\Fserv\e\MERA\WORKS\&#1044;&#1057;&#1048;\&#1056;&#1057;&#1057;\3.%20&#1044;&#1086;&#1082;&#1091;&#1084;&#1077;&#1085;&#1090;&#1099;\&#1082;&#1086;&#1084;&#1072;&#1085;&#1076;&#1080;&#1088;&#1086;&#1074;&#1082;&#1080;\&#1044;&#1057;&#1048;%20&#1056;&#1057;&#1057;%20&#1082;&#1086;&#1084;&#1072;&#1085;&#1076;&#1080;&#1088;&#1086;&#1074;&#1082;&#1080;%202023_v01.xlsx" TargetMode="External" Id="rId2"/><Relationship Type="http://schemas.openxmlformats.org/officeDocument/2006/relationships/hyperlink" Target="https://docs.google.com/spreadsheets/d/1y0rgfU8lO6-15TNYxsnw2ApSOd9XjSH7GmzyyAM7qMk/edit?gid=445756468" TargetMode="External" Id="rId3"/></Relationships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ColWidth="14.453125" defaultRowHeight="15" customHeight="1"/>
  <cols>
    <col width="19.453125" customWidth="1" style="145" min="1" max="1"/>
    <col width="10.81640625" customWidth="1" style="145" min="2" max="2"/>
    <col width="9.1796875" customWidth="1" style="145" min="3" max="3"/>
    <col width="12.26953125" customWidth="1" style="145" min="4" max="4"/>
    <col width="9.1796875" customWidth="1" style="145" min="5" max="5"/>
    <col width="8.7265625" customWidth="1" style="145" min="6" max="6"/>
    <col width="10.26953125" customWidth="1" style="145" min="7" max="7"/>
    <col width="8.7265625" customWidth="1" style="145" min="8" max="11"/>
  </cols>
  <sheetData>
    <row r="1" ht="15.75" customHeight="1" s="145">
      <c r="A1" s="1" t="inlineStr">
        <is>
          <t>ФИО</t>
        </is>
      </c>
      <c r="B1" s="1" t="inlineStr">
        <is>
          <t>Итого</t>
        </is>
      </c>
      <c r="C1" s="1" t="inlineStr">
        <is>
          <t>аванс</t>
        </is>
      </c>
      <c r="D1" s="18" t="inlineStr">
        <is>
          <t>карта</t>
        </is>
      </c>
      <c r="E1" s="1" t="inlineStr">
        <is>
          <t>кредит</t>
        </is>
      </c>
      <c r="F1" s="19" t="inlineStr">
        <is>
          <t>долг</t>
        </is>
      </c>
      <c r="G1" s="1" t="inlineStr">
        <is>
          <t>к выд</t>
        </is>
      </c>
    </row>
    <row r="2" ht="15" customHeight="1" s="145">
      <c r="A2" s="2" t="inlineStr">
        <is>
          <t>Попов А.Н.</t>
        </is>
      </c>
      <c r="B2" s="2">
        <f>#REF!*30</f>
        <v/>
      </c>
      <c r="C2" s="2">
        <f>#REF!</f>
        <v/>
      </c>
      <c r="D2" s="20">
        <f>#REF!</f>
        <v/>
      </c>
      <c r="E2" s="4" t="n"/>
      <c r="F2" s="21">
        <f>#REF!+#REF!</f>
        <v/>
      </c>
      <c r="G2" s="2">
        <f>B2-C2-D2-F2</f>
        <v/>
      </c>
    </row>
    <row r="3" ht="14.5" customHeight="1" s="145">
      <c r="A3" s="5" t="inlineStr">
        <is>
          <t>Кокорев А.В.</t>
        </is>
      </c>
      <c r="B3" s="5">
        <f>#REF!*30</f>
        <v/>
      </c>
      <c r="C3" s="5">
        <f>#REF!</f>
        <v/>
      </c>
      <c r="D3" s="22">
        <f>#REF!</f>
        <v/>
      </c>
      <c r="E3" s="7" t="n"/>
      <c r="F3" s="23">
        <f>#REF!+#REF!</f>
        <v/>
      </c>
      <c r="G3" s="5">
        <f>B3-C3-D3-F3</f>
        <v/>
      </c>
    </row>
    <row r="4" ht="14.5" customHeight="1" s="145">
      <c r="A4" s="5" t="inlineStr">
        <is>
          <t>Сёмин А.А.</t>
        </is>
      </c>
      <c r="B4" s="5">
        <f>#REF!*30</f>
        <v/>
      </c>
      <c r="C4" s="5">
        <f>#REF!</f>
        <v/>
      </c>
      <c r="D4" s="22">
        <f>#REF!</f>
        <v/>
      </c>
      <c r="E4" s="7" t="n"/>
      <c r="F4" s="23">
        <f>#REF!+#REF!</f>
        <v/>
      </c>
      <c r="G4" s="5">
        <f>B4-C4-D4-F4</f>
        <v/>
      </c>
    </row>
    <row r="5" ht="14.5" customHeight="1" s="145">
      <c r="A5" s="5" t="inlineStr">
        <is>
          <t>Милосердов Д.В.</t>
        </is>
      </c>
      <c r="B5" s="5">
        <f>#REF!*30</f>
        <v/>
      </c>
      <c r="C5" s="5">
        <f>#REF!</f>
        <v/>
      </c>
      <c r="D5" s="22">
        <f>#REF!</f>
        <v/>
      </c>
      <c r="E5" s="7" t="n"/>
      <c r="F5" s="7" t="n"/>
      <c r="G5" s="5">
        <f>B5-C5-D5-F5</f>
        <v/>
      </c>
    </row>
    <row r="6" ht="14.5" customHeight="1" s="145">
      <c r="A6" s="5" t="inlineStr">
        <is>
          <t>Линшиц М.В.</t>
        </is>
      </c>
      <c r="B6" s="5">
        <f>#REF!*30</f>
        <v/>
      </c>
      <c r="C6" s="5">
        <f>#REF!</f>
        <v/>
      </c>
      <c r="D6" s="22">
        <f>#REF!</f>
        <v/>
      </c>
      <c r="E6" s="7" t="n"/>
      <c r="F6" s="7" t="n"/>
      <c r="G6" s="5">
        <f>B6-C6-D6-F6</f>
        <v/>
      </c>
    </row>
    <row r="7" ht="14.5" customHeight="1" s="145">
      <c r="A7" s="5" t="inlineStr">
        <is>
          <t>Дорофеев П.Г.</t>
        </is>
      </c>
      <c r="B7" s="5">
        <f>#REF!*30</f>
        <v/>
      </c>
      <c r="C7" s="5">
        <f>#REF!</f>
        <v/>
      </c>
      <c r="D7" s="22">
        <f>#REF!</f>
        <v/>
      </c>
      <c r="E7" s="7" t="n"/>
      <c r="F7" s="7" t="n"/>
      <c r="G7" s="5">
        <f>B7-C7-D7-F7</f>
        <v/>
      </c>
    </row>
    <row r="8" ht="14.5" customHeight="1" s="145">
      <c r="A8" s="5" t="inlineStr">
        <is>
          <t>Зайцев М.Е</t>
        </is>
      </c>
      <c r="B8" s="5">
        <f>#REF!*30</f>
        <v/>
      </c>
      <c r="C8" s="5">
        <f>#REF!</f>
        <v/>
      </c>
      <c r="D8" s="22">
        <f>#REF!</f>
        <v/>
      </c>
      <c r="E8" s="7" t="n"/>
      <c r="F8" s="7">
        <f>#REF!*30</f>
        <v/>
      </c>
      <c r="G8" s="5">
        <f>B8-C8-D8-F8</f>
        <v/>
      </c>
    </row>
    <row r="9" ht="14.5" customHeight="1" s="145">
      <c r="A9" s="5" t="inlineStr">
        <is>
          <t>Власишен В.С.</t>
        </is>
      </c>
      <c r="B9" s="5">
        <f>#REF!*30</f>
        <v/>
      </c>
      <c r="C9" s="5">
        <f>#REF!</f>
        <v/>
      </c>
      <c r="D9" s="22">
        <f>#REF!</f>
        <v/>
      </c>
      <c r="E9" s="7" t="n"/>
      <c r="F9" s="7" t="n"/>
      <c r="G9" s="5">
        <f>B9-C9-D9-F9</f>
        <v/>
      </c>
    </row>
    <row r="10" ht="14.5" customHeight="1" s="145">
      <c r="A10" s="5" t="inlineStr">
        <is>
          <t>Кашеваров А.И.</t>
        </is>
      </c>
      <c r="B10" s="5">
        <f>#REF!*30</f>
        <v/>
      </c>
      <c r="C10" s="5">
        <f>#REF!</f>
        <v/>
      </c>
      <c r="D10" s="22">
        <f>#REF!</f>
        <v/>
      </c>
      <c r="E10" s="7" t="n"/>
      <c r="F10" s="7" t="n"/>
      <c r="G10" s="5">
        <f>B10-C10-D10-F10</f>
        <v/>
      </c>
    </row>
    <row r="11" ht="14.5" customHeight="1" s="145">
      <c r="A11" s="5" t="inlineStr">
        <is>
          <t>Рыбалка Е.</t>
        </is>
      </c>
      <c r="B11" s="5">
        <f>#REF!*30</f>
        <v/>
      </c>
      <c r="C11" s="5">
        <f>#REF!</f>
        <v/>
      </c>
      <c r="D11" s="22">
        <f>#REF!</f>
        <v/>
      </c>
      <c r="E11" s="7" t="n"/>
      <c r="F11" s="7" t="n"/>
      <c r="G11" s="5">
        <f>B11-C11-D11-F11</f>
        <v/>
      </c>
    </row>
    <row r="12" ht="14.5" customHeight="1" s="145">
      <c r="A12" s="5" t="inlineStr">
        <is>
          <t>Бобылева И.В.</t>
        </is>
      </c>
      <c r="B12" s="5">
        <f>#REF!*30</f>
        <v/>
      </c>
      <c r="C12" s="5">
        <f>#REF!</f>
        <v/>
      </c>
      <c r="D12" s="22">
        <f>#REF!</f>
        <v/>
      </c>
      <c r="E12" s="7" t="n"/>
      <c r="F12" s="7" t="n"/>
      <c r="G12" s="5">
        <f>B12-C12-D12-F12</f>
        <v/>
      </c>
    </row>
    <row r="13" ht="14.5" customHeight="1" s="145">
      <c r="A13" s="5" t="inlineStr">
        <is>
          <t>Яковлев А.Р.</t>
        </is>
      </c>
      <c r="B13" s="5">
        <f>#REF!*30</f>
        <v/>
      </c>
      <c r="C13" s="5">
        <f>#REF!</f>
        <v/>
      </c>
      <c r="D13" s="22">
        <f>#REF!</f>
        <v/>
      </c>
      <c r="E13" s="7" t="n"/>
      <c r="F13" s="7" t="n"/>
      <c r="G13" s="5">
        <f>B13-C13-D13-F13</f>
        <v/>
      </c>
    </row>
    <row r="14" ht="14.5" customHeight="1" s="145">
      <c r="A14" s="5" t="inlineStr">
        <is>
          <t>Иванов К.А.</t>
        </is>
      </c>
      <c r="B14" s="5">
        <f>#REF!*30</f>
        <v/>
      </c>
      <c r="C14" s="5">
        <f>#REF!</f>
        <v/>
      </c>
      <c r="D14" s="22">
        <f>#REF!</f>
        <v/>
      </c>
      <c r="E14" s="7" t="n"/>
      <c r="F14" s="7" t="n"/>
      <c r="G14" s="5">
        <f>B14-C14-D14-F14</f>
        <v/>
      </c>
    </row>
    <row r="15" ht="14.5" customHeight="1" s="145">
      <c r="A15" s="5" t="inlineStr">
        <is>
          <t>Лунин С.В./СЛ</t>
        </is>
      </c>
      <c r="B15" s="5">
        <f>#REF!*30</f>
        <v/>
      </c>
      <c r="C15" s="5">
        <f>#REF!</f>
        <v/>
      </c>
      <c r="D15" s="22">
        <f>#REF!</f>
        <v/>
      </c>
      <c r="E15" s="7" t="n"/>
      <c r="F15" s="7" t="n"/>
      <c r="G15" s="5">
        <f>B15-C15-D15-F15</f>
        <v/>
      </c>
    </row>
    <row r="16" ht="14.5" customHeight="1" s="145">
      <c r="A16" s="5" t="inlineStr">
        <is>
          <t>Викулина Н.А.</t>
        </is>
      </c>
      <c r="B16" s="5">
        <f>#REF!*30</f>
        <v/>
      </c>
      <c r="C16" s="5">
        <f>#REF!</f>
        <v/>
      </c>
      <c r="D16" s="22">
        <f>#REF!</f>
        <v/>
      </c>
      <c r="E16" s="7" t="n"/>
      <c r="F16" s="7" t="n"/>
      <c r="G16" s="5">
        <f>B16-C16-D16-F16</f>
        <v/>
      </c>
    </row>
    <row r="17" ht="14.5" customHeight="1" s="145">
      <c r="A17" s="5" t="inlineStr">
        <is>
          <t>Стржелинский О.</t>
        </is>
      </c>
      <c r="B17" s="5">
        <f>#REF!*30</f>
        <v/>
      </c>
      <c r="C17" s="5">
        <f>#REF!</f>
        <v/>
      </c>
      <c r="D17" s="22">
        <f>#REF!</f>
        <v/>
      </c>
      <c r="E17" s="7" t="n"/>
      <c r="F17" s="7" t="n"/>
      <c r="G17" s="5">
        <f>B17-C17-D17-F17</f>
        <v/>
      </c>
    </row>
    <row r="18" ht="14.5" customHeight="1" s="145">
      <c r="A18" s="5" t="inlineStr">
        <is>
          <t>Жидков И.А.</t>
        </is>
      </c>
      <c r="B18" s="5">
        <f>#REF!*30</f>
        <v/>
      </c>
      <c r="C18" s="5">
        <f>#REF!</f>
        <v/>
      </c>
      <c r="D18" s="22">
        <f>#REF!</f>
        <v/>
      </c>
      <c r="E18" s="7" t="n"/>
      <c r="F18" s="7" t="n"/>
      <c r="G18" s="5">
        <f>B18-C18-D18-F18</f>
        <v/>
      </c>
    </row>
    <row r="19" ht="14.5" customHeight="1" s="145">
      <c r="A19" s="5" t="inlineStr">
        <is>
          <t>Баринов Е.В.</t>
        </is>
      </c>
      <c r="B19" s="5">
        <f>#REF!*30</f>
        <v/>
      </c>
      <c r="C19" s="5">
        <f>#REF!</f>
        <v/>
      </c>
      <c r="D19" s="22">
        <f>#REF!</f>
        <v/>
      </c>
      <c r="E19" s="7" t="n"/>
      <c r="F19" s="7" t="n"/>
      <c r="G19" s="5">
        <f>B19-C19-D19-F19</f>
        <v/>
      </c>
    </row>
    <row r="20" ht="14.5" customHeight="1" s="145">
      <c r="A20" s="5" t="inlineStr">
        <is>
          <t>Загребин И.</t>
        </is>
      </c>
      <c r="B20" s="5">
        <f>#REF!*30</f>
        <v/>
      </c>
      <c r="C20" s="5">
        <f>#REF!</f>
        <v/>
      </c>
      <c r="D20" s="22">
        <f>#REF!</f>
        <v/>
      </c>
      <c r="E20" s="7" t="n"/>
      <c r="F20" s="7" t="n"/>
      <c r="G20" s="5">
        <f>B20-C20-D20-F20</f>
        <v/>
      </c>
    </row>
    <row r="21" ht="15.75" customHeight="1" s="145">
      <c r="A21" s="5" t="inlineStr">
        <is>
          <t>Скрипник А.А.</t>
        </is>
      </c>
      <c r="B21" s="5">
        <f>#REF!*30</f>
        <v/>
      </c>
      <c r="C21" s="5">
        <f>#REF!</f>
        <v/>
      </c>
      <c r="D21" s="22">
        <f>#REF!</f>
        <v/>
      </c>
      <c r="E21" s="7" t="n"/>
      <c r="F21" s="7" t="n"/>
      <c r="G21" s="24">
        <f>B21-C21-D21-F21</f>
        <v/>
      </c>
    </row>
    <row r="22" ht="15.75" customHeight="1" s="145">
      <c r="A22" s="5" t="inlineStr">
        <is>
          <t>Стифутин А.С.</t>
        </is>
      </c>
      <c r="B22" s="5">
        <f>#REF!*30</f>
        <v/>
      </c>
      <c r="C22" s="5">
        <f>#REF!</f>
        <v/>
      </c>
      <c r="D22" s="22">
        <f>#REF!</f>
        <v/>
      </c>
      <c r="E22" s="7" t="n"/>
      <c r="F22" s="25">
        <f>#REF!*30</f>
        <v/>
      </c>
      <c r="G22" s="24">
        <f>B22-C22-D22-F22</f>
        <v/>
      </c>
    </row>
    <row r="23" ht="15.75" customHeight="1" s="145">
      <c r="A23" s="5" t="inlineStr">
        <is>
          <t>Коростелёв О.Б.</t>
        </is>
      </c>
      <c r="B23" s="5">
        <f>#REF!*30</f>
        <v/>
      </c>
      <c r="C23" s="5">
        <f>#REF!</f>
        <v/>
      </c>
      <c r="D23" s="22">
        <f>#REF!</f>
        <v/>
      </c>
      <c r="E23" s="7" t="n"/>
      <c r="F23" s="7" t="n"/>
      <c r="G23" s="5">
        <f>B23-C23-D23-F23</f>
        <v/>
      </c>
    </row>
    <row r="24" ht="15.75" customHeight="1" s="145">
      <c r="A24" s="5" t="inlineStr">
        <is>
          <t>Мамонов А.М.</t>
        </is>
      </c>
      <c r="B24" s="5">
        <f>#REF!*30</f>
        <v/>
      </c>
      <c r="C24" s="5">
        <f>#REF!</f>
        <v/>
      </c>
      <c r="D24" s="22">
        <f>#REF!</f>
        <v/>
      </c>
      <c r="E24" s="7" t="n"/>
      <c r="F24" s="7" t="n"/>
      <c r="G24" s="5">
        <f>B24-C24-D24-F24</f>
        <v/>
      </c>
    </row>
    <row r="25" ht="15.75" customHeight="1" s="145">
      <c r="A25" s="5" t="inlineStr">
        <is>
          <t>Петров Д.С.</t>
        </is>
      </c>
      <c r="B25" s="5">
        <f>#REF!*30</f>
        <v/>
      </c>
      <c r="C25" s="5">
        <f>#REF!</f>
        <v/>
      </c>
      <c r="D25" s="22">
        <f>#REF!</f>
        <v/>
      </c>
      <c r="E25" s="7" t="n"/>
      <c r="F25" s="7" t="n"/>
      <c r="G25" s="5">
        <f>B25-C25-D25-F25</f>
        <v/>
      </c>
    </row>
    <row r="26" ht="15.75" customHeight="1" s="145">
      <c r="A26" s="5" t="inlineStr">
        <is>
          <t>Фельдман В.П.</t>
        </is>
      </c>
      <c r="B26" s="5">
        <f>#REF!*30</f>
        <v/>
      </c>
      <c r="C26" s="5">
        <f>#REF!</f>
        <v/>
      </c>
      <c r="D26" s="22">
        <f>#REF!</f>
        <v/>
      </c>
      <c r="E26" s="7" t="n"/>
      <c r="F26" s="7" t="n"/>
      <c r="G26" s="5">
        <f>B26-C26-D26-F26</f>
        <v/>
      </c>
    </row>
    <row r="27" ht="15.75" customHeight="1" s="145">
      <c r="A27" s="5" t="inlineStr">
        <is>
          <t>Афонин М.М.</t>
        </is>
      </c>
      <c r="B27" s="5">
        <f>#REF!*30</f>
        <v/>
      </c>
      <c r="C27" s="5">
        <f>#REF!</f>
        <v/>
      </c>
      <c r="D27" s="22">
        <f>#REF!</f>
        <v/>
      </c>
      <c r="E27" s="7" t="n"/>
      <c r="F27" s="7" t="n"/>
      <c r="G27" s="5">
        <f>B27-C27-D27-F27</f>
        <v/>
      </c>
    </row>
    <row r="28" ht="15.75" customHeight="1" s="145">
      <c r="A28" s="5" t="inlineStr">
        <is>
          <t>Капустян Д.С.</t>
        </is>
      </c>
      <c r="B28" s="5">
        <f>#REF!*30</f>
        <v/>
      </c>
      <c r="C28" s="5">
        <f>#REF!</f>
        <v/>
      </c>
      <c r="D28" s="22">
        <f>#REF!</f>
        <v/>
      </c>
      <c r="E28" s="7" t="n"/>
      <c r="F28" s="25">
        <f>#REF!*30</f>
        <v/>
      </c>
      <c r="G28" s="5">
        <f>B28-C28-D28-F28</f>
        <v/>
      </c>
    </row>
    <row r="29" ht="15.75" customHeight="1" s="145">
      <c r="A29" s="5" t="inlineStr">
        <is>
          <t>Суровцев А.М.</t>
        </is>
      </c>
      <c r="B29" s="5">
        <f>#REF!*30</f>
        <v/>
      </c>
      <c r="C29" s="5">
        <f>#REF!</f>
        <v/>
      </c>
      <c r="D29" s="22">
        <f>#REF!</f>
        <v/>
      </c>
      <c r="E29" s="7" t="n"/>
      <c r="F29" s="7" t="n"/>
      <c r="G29" s="5">
        <f>B29-C29-D29-F29</f>
        <v/>
      </c>
    </row>
    <row r="30" ht="15.75" customHeight="1" s="145">
      <c r="A30" s="10" t="inlineStr">
        <is>
          <t>Лазарев</t>
        </is>
      </c>
      <c r="B30" s="10">
        <f>#REF!*30</f>
        <v/>
      </c>
      <c r="C30" s="10">
        <f>#REF!</f>
        <v/>
      </c>
      <c r="D30" s="26">
        <f>#REF!</f>
        <v/>
      </c>
      <c r="E30" s="27" t="n"/>
      <c r="F30" s="27" t="n"/>
      <c r="G30" s="5">
        <f>B30-C30-D30-F30</f>
        <v/>
      </c>
    </row>
    <row r="31" ht="15.75" customHeight="1" s="145">
      <c r="A31" s="10" t="inlineStr">
        <is>
          <t>Адаменко</t>
        </is>
      </c>
      <c r="B31" s="10" t="n"/>
      <c r="C31" s="10">
        <f>#REF!</f>
        <v/>
      </c>
      <c r="D31" s="26">
        <f>#REF!</f>
        <v/>
      </c>
      <c r="E31" s="27" t="n"/>
      <c r="F31" s="27" t="n"/>
      <c r="G31" s="24">
        <f>B31-C31-D31-F31</f>
        <v/>
      </c>
    </row>
    <row r="32" ht="15.75" customHeight="1" s="145">
      <c r="A32" s="10" t="inlineStr">
        <is>
          <t>Дубинин А.Ф.</t>
        </is>
      </c>
      <c r="B32" s="10">
        <f>#REF!*30</f>
        <v/>
      </c>
      <c r="C32" s="10">
        <f>#REF!</f>
        <v/>
      </c>
      <c r="D32" s="26">
        <f>#REF!</f>
        <v/>
      </c>
      <c r="E32" s="27" t="n"/>
      <c r="F32" s="27" t="n"/>
      <c r="G32" s="5">
        <f>B32-C32-D32-F32</f>
        <v/>
      </c>
    </row>
    <row r="33" ht="15.75" customHeight="1" s="145">
      <c r="A33" s="10" t="inlineStr">
        <is>
          <t>Пак В.В.</t>
        </is>
      </c>
      <c r="B33" s="10">
        <f>#REF!*30</f>
        <v/>
      </c>
      <c r="C33" s="10">
        <f>#REF!</f>
        <v/>
      </c>
      <c r="D33" s="26">
        <f>#REF!</f>
        <v/>
      </c>
      <c r="E33" s="27">
        <f>#REF!*30</f>
        <v/>
      </c>
      <c r="F33" s="27">
        <f>#REF!*30</f>
        <v/>
      </c>
      <c r="G33" s="5">
        <f>B33-C33-D33-F33</f>
        <v/>
      </c>
    </row>
    <row r="34" ht="15.75" customHeight="1" s="145">
      <c r="A34" s="10" t="inlineStr">
        <is>
          <t xml:space="preserve">Мамонтов </t>
        </is>
      </c>
      <c r="B34" s="10">
        <f>#REF!*30</f>
        <v/>
      </c>
      <c r="C34" s="10">
        <f>#REF!</f>
        <v/>
      </c>
      <c r="D34" s="26">
        <f>#REF!</f>
        <v/>
      </c>
      <c r="E34" s="27" t="n"/>
      <c r="F34" s="27" t="n"/>
      <c r="G34" s="5">
        <f>B34-C34-D34-F34</f>
        <v/>
      </c>
    </row>
    <row r="35" ht="15.75" customHeight="1" s="145">
      <c r="A35" s="10" t="inlineStr">
        <is>
          <t>Соловьев В.М.</t>
        </is>
      </c>
      <c r="B35" s="10">
        <f>#REF!*30</f>
        <v/>
      </c>
      <c r="C35" s="10">
        <f>#REF!</f>
        <v/>
      </c>
      <c r="D35" s="26">
        <f>#REF!</f>
        <v/>
      </c>
      <c r="E35" s="27">
        <f>#REF!*30</f>
        <v/>
      </c>
      <c r="F35" s="27">
        <f>#REF!*30</f>
        <v/>
      </c>
      <c r="G35" s="5">
        <f>B35-C35-D35-F35</f>
        <v/>
      </c>
    </row>
    <row r="36" ht="15.75" customHeight="1" s="145">
      <c r="A36" s="10" t="inlineStr">
        <is>
          <t>Шаренда Е.</t>
        </is>
      </c>
      <c r="B36" s="10">
        <f>#REF!*30</f>
        <v/>
      </c>
      <c r="C36" s="10">
        <f>#REF!</f>
        <v/>
      </c>
      <c r="D36" s="26">
        <f>#REF!</f>
        <v/>
      </c>
      <c r="E36" s="27" t="n"/>
      <c r="F36" s="27" t="n"/>
      <c r="G36" s="10">
        <f>B36-C36-D36-F36</f>
        <v/>
      </c>
    </row>
    <row r="37" ht="15.75" customHeight="1" s="145">
      <c r="A37" s="11" t="inlineStr">
        <is>
          <t>Итого</t>
        </is>
      </c>
      <c r="B37" s="12">
        <f>SUM(B2:B36)</f>
        <v/>
      </c>
      <c r="C37" s="12">
        <f>SUM(C2:C36)</f>
        <v/>
      </c>
      <c r="D37" s="13">
        <f>SUM(D2:D36)</f>
        <v/>
      </c>
      <c r="E37" s="14">
        <f>SUM(E2:E36)</f>
        <v/>
      </c>
      <c r="F37" s="15">
        <f>SUM(F2:F36)</f>
        <v/>
      </c>
      <c r="G37" s="12">
        <f>SUM(G2:G36)</f>
        <v/>
      </c>
    </row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</sheetData>
  <pageMargins left="0.7" right="0.7" top="0.75" bottom="0.75" header="0" footer="0"/>
  <pageSetup orientation="landscape" paperSize="9"/>
</worksheet>
</file>

<file path=xl/worksheets/sheet2.xml><?xml version="1.0" encoding="utf-8"?>
<worksheet xmlns="http://schemas.openxmlformats.org/spreadsheetml/2006/main">
  <sheetPr codeName="Лист2">
    <outlinePr summaryBelow="1" summaryRight="1"/>
    <pageSetUpPr/>
  </sheetPr>
  <dimension ref="A2:M153"/>
  <sheetViews>
    <sheetView workbookViewId="0">
      <selection activeCell="A1" sqref="A1"/>
    </sheetView>
  </sheetViews>
  <sheetFormatPr baseColWidth="8" defaultColWidth="14.453125" defaultRowHeight="15" customHeight="1"/>
  <cols>
    <col width="16.453125" customWidth="1" style="145" min="1" max="1"/>
    <col width="12.1796875" customWidth="1" style="145" min="2" max="2"/>
    <col width="8.7265625" customWidth="1" style="145" min="3" max="13"/>
  </cols>
  <sheetData>
    <row r="2" ht="14.5" customHeight="1" s="145">
      <c r="A2" t="inlineStr">
        <is>
          <t>февраль</t>
        </is>
      </c>
    </row>
    <row r="4" ht="14.5" customHeight="1" s="145">
      <c r="A4" s="28" t="inlineStr">
        <is>
          <t>ФИО</t>
        </is>
      </c>
      <c r="B4" s="28" t="inlineStr">
        <is>
          <t>Итого</t>
        </is>
      </c>
      <c r="C4" s="144" t="inlineStr">
        <is>
          <t>аванс</t>
        </is>
      </c>
      <c r="D4" s="28" t="inlineStr">
        <is>
          <t>карта</t>
        </is>
      </c>
      <c r="E4" s="30" t="inlineStr">
        <is>
          <t>кр/долг</t>
        </is>
      </c>
      <c r="F4" s="31" t="inlineStr">
        <is>
          <t>к выд</t>
        </is>
      </c>
      <c r="G4" s="28" t="inlineStr">
        <is>
          <t>Итого заявл</t>
        </is>
      </c>
      <c r="H4" s="28" t="inlineStr">
        <is>
          <t>Итого ав</t>
        </is>
      </c>
      <c r="I4" s="28" t="inlineStr">
        <is>
          <t>Итого карт</t>
        </is>
      </c>
      <c r="J4" s="28" t="inlineStr">
        <is>
          <t>Итого кр</t>
        </is>
      </c>
      <c r="K4" s="28" t="inlineStr">
        <is>
          <t>Итого к выд</t>
        </is>
      </c>
      <c r="L4" s="32" t="inlineStr">
        <is>
          <t>Проверка к выд</t>
        </is>
      </c>
      <c r="M4" s="33" t="n"/>
    </row>
    <row r="5" ht="14.5" customHeight="1" s="145">
      <c r="A5" s="16" t="inlineStr">
        <is>
          <t>Попов А.Н.</t>
        </is>
      </c>
      <c r="B5" s="34">
        <f>#REF!*30</f>
        <v/>
      </c>
      <c r="C5" s="3" t="n">
        <v>60000</v>
      </c>
      <c r="D5" s="3" t="n">
        <v>0</v>
      </c>
      <c r="E5" s="35" t="n"/>
      <c r="F5" s="2">
        <f>B5-C5-D5-E5</f>
        <v/>
      </c>
      <c r="G5" s="34" t="n"/>
      <c r="H5" s="3" t="n"/>
      <c r="I5" s="3" t="n"/>
      <c r="J5" s="3" t="n"/>
      <c r="K5" s="3" t="n"/>
      <c r="L5" s="35" t="n"/>
      <c r="M5" s="139" t="inlineStr">
        <is>
          <t>ДСИ</t>
        </is>
      </c>
    </row>
    <row r="6" ht="14.5" customHeight="1" s="145">
      <c r="A6" s="5" t="inlineStr">
        <is>
          <t>Кокорев А.В.</t>
        </is>
      </c>
      <c r="B6" s="8">
        <f>#REF!*30</f>
        <v/>
      </c>
      <c r="C6" s="6" t="n">
        <v>30000</v>
      </c>
      <c r="D6" s="6" t="n">
        <v>37770</v>
      </c>
      <c r="E6" s="7" t="n"/>
      <c r="F6" s="5">
        <f>B6-C6-D6-E6</f>
        <v/>
      </c>
      <c r="G6" s="8" t="n"/>
      <c r="H6" s="6" t="n"/>
      <c r="I6" s="6" t="n"/>
      <c r="J6" s="6" t="n"/>
      <c r="K6" s="6" t="n"/>
      <c r="L6" s="7" t="n"/>
      <c r="M6" s="140" t="n"/>
    </row>
    <row r="7" ht="14.5" customHeight="1" s="145">
      <c r="A7" s="5" t="inlineStr">
        <is>
          <t>Сёмин А.А.</t>
        </is>
      </c>
      <c r="B7" s="8">
        <f>#REF!*30</f>
        <v/>
      </c>
      <c r="C7" s="6" t="n">
        <v>25000</v>
      </c>
      <c r="D7" s="6" t="n">
        <v>24360</v>
      </c>
      <c r="E7" s="7" t="n"/>
      <c r="F7" s="5">
        <f>B7-C7-D7-E7</f>
        <v/>
      </c>
      <c r="G7" s="8" t="n"/>
      <c r="H7" s="6" t="n"/>
      <c r="I7" s="6" t="n"/>
      <c r="J7" s="6" t="n"/>
      <c r="K7" s="6" t="n"/>
      <c r="L7" s="7" t="n"/>
      <c r="M7" s="140" t="n"/>
    </row>
    <row r="8" ht="14.5" customHeight="1" s="145">
      <c r="A8" s="5" t="inlineStr">
        <is>
          <t>Милосердов Д.В.</t>
        </is>
      </c>
      <c r="B8" s="8">
        <f>#REF!*30</f>
        <v/>
      </c>
      <c r="C8" s="6" t="n">
        <v>0</v>
      </c>
      <c r="D8" s="6" t="n">
        <v>33480</v>
      </c>
      <c r="E8" s="7" t="n"/>
      <c r="F8" s="5">
        <f>B8-C8-D8-E8</f>
        <v/>
      </c>
      <c r="G8" s="8" t="n"/>
      <c r="H8" s="6" t="n"/>
      <c r="I8" s="6" t="n"/>
      <c r="J8" s="6" t="n"/>
      <c r="K8" s="6" t="n"/>
      <c r="L8" s="7" t="n"/>
      <c r="M8" s="140" t="n"/>
    </row>
    <row r="9" ht="14.5" customHeight="1" s="145">
      <c r="A9" s="5" t="inlineStr">
        <is>
          <t>Линшиц М.В.</t>
        </is>
      </c>
      <c r="B9" s="8">
        <f>#REF!*30</f>
        <v/>
      </c>
      <c r="C9" s="6" t="n">
        <v>20000</v>
      </c>
      <c r="D9" s="6" t="n">
        <v>22620</v>
      </c>
      <c r="E9" s="7" t="n"/>
      <c r="F9" s="5">
        <f>B9-C9-D9-E9</f>
        <v/>
      </c>
      <c r="G9" s="8" t="n"/>
      <c r="H9" s="6" t="inlineStr">
        <is>
          <t>оркс</t>
        </is>
      </c>
      <c r="I9" s="6" t="inlineStr">
        <is>
          <t>ом</t>
        </is>
      </c>
      <c r="J9" s="6" t="n"/>
      <c r="K9" s="6" t="n"/>
      <c r="L9" s="7" t="n"/>
      <c r="M9" s="140" t="n"/>
    </row>
    <row r="10" ht="14.5" customHeight="1" s="145">
      <c r="A10" s="5" t="inlineStr">
        <is>
          <t>Дорофеев П.Г.</t>
        </is>
      </c>
      <c r="B10" s="8">
        <f>#REF!*30</f>
        <v/>
      </c>
      <c r="C10" s="6" t="n">
        <v>15000</v>
      </c>
      <c r="D10" s="6" t="n">
        <v>28740</v>
      </c>
      <c r="E10" s="7" t="n"/>
      <c r="F10" s="5">
        <f>B10-C10-D10-E10</f>
        <v/>
      </c>
      <c r="G10" s="8" t="n"/>
      <c r="H10" s="6">
        <f>D23+D11+D31+D26+D18+D27+D28+D24+D25+D29</f>
        <v/>
      </c>
      <c r="I10" s="6">
        <f>D30+D22+D15+D19+D12+D10+D21+D17+D6+D33+D9+D8+D14+D7+D20+D32+D37+D16</f>
        <v/>
      </c>
      <c r="J10" s="6">
        <f>SUM(H10:I10)</f>
        <v/>
      </c>
      <c r="K10" s="6" t="n"/>
      <c r="L10" s="7" t="n"/>
      <c r="M10" s="140" t="n"/>
    </row>
    <row r="11" ht="14.5" customHeight="1" s="145">
      <c r="A11" s="5" t="inlineStr">
        <is>
          <t>Зайцев М.Е</t>
        </is>
      </c>
      <c r="B11" s="8">
        <f>#REF!*30</f>
        <v/>
      </c>
      <c r="C11" s="6" t="n">
        <v>20000</v>
      </c>
      <c r="D11" s="6" t="n">
        <v>24360</v>
      </c>
      <c r="E11" s="7">
        <f>#REF!*30</f>
        <v/>
      </c>
      <c r="F11" s="5">
        <f>B11-C11-D11-E11</f>
        <v/>
      </c>
      <c r="G11" s="8" t="n"/>
      <c r="H11" s="6" t="n"/>
      <c r="I11" s="6" t="n"/>
      <c r="J11" s="6" t="n"/>
      <c r="K11" s="6" t="n"/>
      <c r="L11" s="7" t="n"/>
      <c r="M11" s="140" t="n"/>
    </row>
    <row r="12" ht="14.5" customHeight="1" s="145">
      <c r="A12" s="5" t="inlineStr">
        <is>
          <t>Власишен В.С.</t>
        </is>
      </c>
      <c r="B12" s="8">
        <f>#REF!*30</f>
        <v/>
      </c>
      <c r="C12" s="6" t="n">
        <v>10000</v>
      </c>
      <c r="D12" s="6" t="n">
        <v>24960</v>
      </c>
      <c r="E12" s="7" t="n"/>
      <c r="F12" s="5">
        <f>B12-C12-D12-E12</f>
        <v/>
      </c>
      <c r="G12" s="8" t="n"/>
      <c r="H12" s="6" t="n"/>
      <c r="I12" s="6" t="n"/>
      <c r="J12" s="6" t="n"/>
      <c r="K12" s="6" t="n"/>
      <c r="L12" s="7" t="n"/>
      <c r="M12" s="140" t="n"/>
    </row>
    <row r="13" ht="14.5" customHeight="1" s="145">
      <c r="A13" s="5" t="inlineStr">
        <is>
          <t>Кашеваров А.И.</t>
        </is>
      </c>
      <c r="B13" s="8">
        <f>#REF!*30</f>
        <v/>
      </c>
      <c r="C13" s="6" t="n">
        <v>25000</v>
      </c>
      <c r="D13" s="6" t="n">
        <v>0</v>
      </c>
      <c r="E13" s="7" t="n"/>
      <c r="F13" s="5">
        <f>B13-C13-D13-E13</f>
        <v/>
      </c>
      <c r="G13" s="8" t="n"/>
      <c r="H13" s="6" t="n"/>
      <c r="I13" s="6" t="n"/>
      <c r="J13" s="6" t="n"/>
      <c r="K13" s="6" t="n"/>
      <c r="L13" s="7" t="n"/>
      <c r="M13" s="140" t="n"/>
    </row>
    <row r="14" ht="14.5" customHeight="1" s="145">
      <c r="A14" s="5" t="inlineStr">
        <is>
          <t>Рыбалка Е.</t>
        </is>
      </c>
      <c r="B14" s="8">
        <f>#REF!*30</f>
        <v/>
      </c>
      <c r="C14" s="6" t="n">
        <v>0</v>
      </c>
      <c r="D14" s="6" t="n">
        <v>5190</v>
      </c>
      <c r="E14" s="7" t="n"/>
      <c r="F14" s="5">
        <f>B14-C14-D14-E14</f>
        <v/>
      </c>
      <c r="G14" s="8" t="n"/>
      <c r="H14" s="6" t="n"/>
      <c r="I14" s="6" t="n"/>
      <c r="J14" s="6" t="n"/>
      <c r="K14" s="6" t="n"/>
      <c r="L14" s="7" t="n"/>
      <c r="M14" s="140" t="n"/>
    </row>
    <row r="15" ht="14.5" customHeight="1" s="145">
      <c r="A15" s="5" t="inlineStr">
        <is>
          <t>Бобылева И.В.</t>
        </is>
      </c>
      <c r="B15" s="8">
        <f>#REF!*30</f>
        <v/>
      </c>
      <c r="C15" s="6" t="n">
        <v>15000</v>
      </c>
      <c r="D15" s="6" t="n">
        <v>23490</v>
      </c>
      <c r="E15" s="7" t="n"/>
      <c r="F15" s="5">
        <f>B15-C15-D15-E15</f>
        <v/>
      </c>
      <c r="G15" s="8" t="n"/>
      <c r="H15" s="6" t="n"/>
      <c r="I15" s="6" t="n"/>
      <c r="J15" s="6" t="n"/>
      <c r="K15" s="6" t="n"/>
      <c r="L15" s="7" t="n"/>
      <c r="M15" s="140" t="n"/>
    </row>
    <row r="16" ht="14.5" customHeight="1" s="145">
      <c r="A16" s="5" t="inlineStr">
        <is>
          <t>Яковлев А.Р.</t>
        </is>
      </c>
      <c r="B16" s="8">
        <f>#REF!*30</f>
        <v/>
      </c>
      <c r="C16" s="6" t="n">
        <v>20000</v>
      </c>
      <c r="D16" s="6" t="n">
        <v>27660</v>
      </c>
      <c r="E16" s="7" t="n"/>
      <c r="F16" s="5">
        <f>B16-C16-D16-E16</f>
        <v/>
      </c>
      <c r="G16" s="8" t="n"/>
      <c r="H16" s="6" t="n"/>
      <c r="I16" s="6" t="n"/>
      <c r="J16" s="6" t="n"/>
      <c r="K16" s="6" t="n"/>
      <c r="L16" s="7" t="n"/>
      <c r="M16" s="140" t="n"/>
    </row>
    <row r="17" ht="14.5" customHeight="1" s="145">
      <c r="A17" s="5" t="inlineStr">
        <is>
          <t>Иванов К.А.</t>
        </is>
      </c>
      <c r="B17" s="8">
        <f>#REF!*30</f>
        <v/>
      </c>
      <c r="C17" s="6" t="n">
        <v>15000</v>
      </c>
      <c r="D17" s="6" t="n">
        <v>31170</v>
      </c>
      <c r="E17" s="7" t="n"/>
      <c r="F17" s="5">
        <f>B17-C17-D17-E17</f>
        <v/>
      </c>
      <c r="G17" s="8" t="n"/>
      <c r="H17" s="6" t="n"/>
      <c r="I17" s="6" t="n"/>
      <c r="J17" s="6" t="n"/>
      <c r="K17" s="6" t="n"/>
      <c r="L17" s="7" t="n"/>
      <c r="M17" s="140" t="n"/>
    </row>
    <row r="18" ht="14.5" customHeight="1" s="145">
      <c r="A18" s="5" t="inlineStr">
        <is>
          <t>Лунин С.В./СЛ</t>
        </is>
      </c>
      <c r="B18" s="8">
        <f>#REF!*30</f>
        <v/>
      </c>
      <c r="C18" s="6" t="n">
        <v>25000</v>
      </c>
      <c r="D18" s="6" t="n">
        <v>26880</v>
      </c>
      <c r="E18" s="7" t="n"/>
      <c r="F18" s="5">
        <f>B18-C18-D18-E18</f>
        <v/>
      </c>
      <c r="G18" s="8" t="n"/>
      <c r="H18" s="6" t="n"/>
      <c r="I18" s="6" t="n"/>
      <c r="J18" s="6" t="n"/>
      <c r="K18" s="6" t="n"/>
      <c r="L18" s="7" t="n"/>
      <c r="M18" s="140" t="n"/>
    </row>
    <row r="19" ht="14.5" customHeight="1" s="145">
      <c r="A19" s="5" t="inlineStr">
        <is>
          <t>Викулина Н.А.</t>
        </is>
      </c>
      <c r="B19" s="8">
        <f>#REF!*30</f>
        <v/>
      </c>
      <c r="C19" s="6" t="n">
        <v>20000</v>
      </c>
      <c r="D19" s="6" t="n">
        <v>20010</v>
      </c>
      <c r="E19" s="7" t="n"/>
      <c r="F19" s="5">
        <f>B19-C19-D19-E19</f>
        <v/>
      </c>
      <c r="G19" s="8" t="n"/>
      <c r="H19" s="6" t="n"/>
      <c r="I19" s="6" t="n"/>
      <c r="J19" s="6" t="n"/>
      <c r="K19" s="6" t="n"/>
      <c r="L19" s="7" t="n"/>
      <c r="M19" s="140" t="n"/>
    </row>
    <row r="20" ht="14.5" customHeight="1" s="145">
      <c r="A20" s="5" t="inlineStr">
        <is>
          <t>Стржелинский О.</t>
        </is>
      </c>
      <c r="B20" s="8">
        <f>#REF!*30</f>
        <v/>
      </c>
      <c r="C20" s="6" t="n">
        <v>25000</v>
      </c>
      <c r="D20" s="6" t="n">
        <v>34590</v>
      </c>
      <c r="E20" s="7" t="n"/>
      <c r="F20" s="5">
        <f>B20-C20-D20-E20</f>
        <v/>
      </c>
      <c r="G20" s="8" t="n"/>
      <c r="H20" s="6" t="n"/>
      <c r="I20" s="6" t="n"/>
      <c r="J20" s="6" t="n"/>
      <c r="K20" s="6" t="n"/>
      <c r="L20" s="7" t="n"/>
      <c r="M20" s="140" t="n"/>
    </row>
    <row r="21" ht="15.75" customHeight="1" s="145">
      <c r="A21" s="5" t="inlineStr">
        <is>
          <t>Жидков И.А.</t>
        </is>
      </c>
      <c r="B21" s="8">
        <f>#REF!*30</f>
        <v/>
      </c>
      <c r="C21" s="6" t="n">
        <v>25000</v>
      </c>
      <c r="D21" s="6" t="n">
        <v>20400</v>
      </c>
      <c r="E21" s="7" t="n"/>
      <c r="F21" s="5">
        <f>B21-C21-D21-E21</f>
        <v/>
      </c>
      <c r="G21" s="8" t="n"/>
      <c r="H21" s="6" t="n"/>
      <c r="I21" s="6" t="n"/>
      <c r="J21" s="6" t="n"/>
      <c r="K21" s="6" t="n"/>
      <c r="L21" s="7" t="n"/>
      <c r="M21" s="140" t="n"/>
    </row>
    <row r="22" ht="15.75" customHeight="1" s="145">
      <c r="A22" s="5" t="inlineStr">
        <is>
          <t>Баринов Е.В.</t>
        </is>
      </c>
      <c r="B22" s="8">
        <f>#REF!*30</f>
        <v/>
      </c>
      <c r="C22" s="6" t="n">
        <v>15000</v>
      </c>
      <c r="D22" s="6" t="n">
        <v>13830</v>
      </c>
      <c r="E22" s="7" t="n"/>
      <c r="F22" s="5">
        <f>B22-C22-D22-E22</f>
        <v/>
      </c>
      <c r="G22" s="8" t="n"/>
      <c r="H22" s="6" t="n"/>
      <c r="I22" s="6" t="n"/>
      <c r="J22" s="6" t="n"/>
      <c r="K22" s="6" t="n"/>
      <c r="L22" s="7" t="n"/>
      <c r="M22" s="140" t="n"/>
    </row>
    <row r="23" ht="15.75" customHeight="1" s="145">
      <c r="A23" s="5" t="inlineStr">
        <is>
          <t>Загребин И.</t>
        </is>
      </c>
      <c r="B23" s="8">
        <f>#REF!*30</f>
        <v/>
      </c>
      <c r="C23" s="6" t="n">
        <v>20000</v>
      </c>
      <c r="D23" s="6" t="n">
        <v>18720</v>
      </c>
      <c r="E23" s="7" t="n"/>
      <c r="F23" s="5">
        <f>B23-C23-D23-E23</f>
        <v/>
      </c>
      <c r="G23" s="8" t="n"/>
      <c r="H23" s="6" t="n"/>
      <c r="I23" s="6" t="n"/>
      <c r="J23" s="6" t="n"/>
      <c r="K23" s="6" t="n"/>
      <c r="L23" s="7" t="n"/>
      <c r="M23" s="140" t="n"/>
    </row>
    <row r="24" ht="15.75" customHeight="1" s="145">
      <c r="A24" s="5" t="inlineStr">
        <is>
          <t>Скрипник А.А.</t>
        </is>
      </c>
      <c r="B24" s="8">
        <f>#REF!*30</f>
        <v/>
      </c>
      <c r="C24" s="6" t="n">
        <v>25000</v>
      </c>
      <c r="D24" s="6" t="n">
        <v>37050</v>
      </c>
      <c r="E24" s="7" t="n"/>
      <c r="F24" s="5">
        <f>B24-C24-D24-E24</f>
        <v/>
      </c>
      <c r="G24" s="8" t="n"/>
      <c r="H24" s="6" t="n"/>
      <c r="I24" s="6" t="n"/>
      <c r="J24" s="6" t="n"/>
      <c r="K24" s="6" t="n"/>
      <c r="L24" s="7" t="n"/>
      <c r="M24" s="140" t="n"/>
    </row>
    <row r="25" ht="15.75" customHeight="1" s="145">
      <c r="A25" s="5" t="inlineStr">
        <is>
          <t>Стифутин А.С.</t>
        </is>
      </c>
      <c r="B25" s="8">
        <f>#REF!*30</f>
        <v/>
      </c>
      <c r="C25" s="6" t="n">
        <v>25000</v>
      </c>
      <c r="D25" s="6" t="n">
        <v>44790</v>
      </c>
      <c r="E25" s="25">
        <f>#REF!</f>
        <v/>
      </c>
      <c r="F25" s="5">
        <f>B25-C25-D25-E25</f>
        <v/>
      </c>
      <c r="G25" s="8" t="n"/>
      <c r="H25" s="6" t="n"/>
      <c r="I25" s="6" t="n"/>
      <c r="J25" s="6" t="n"/>
      <c r="K25" s="6" t="n"/>
      <c r="L25" s="7" t="n"/>
      <c r="M25" s="140" t="n"/>
    </row>
    <row r="26" ht="15.75" customHeight="1" s="145">
      <c r="A26" s="5" t="inlineStr">
        <is>
          <t>Коростелёв О.Б.</t>
        </is>
      </c>
      <c r="B26" s="8">
        <f>#REF!*30</f>
        <v/>
      </c>
      <c r="C26" s="6" t="n">
        <v>15000</v>
      </c>
      <c r="D26" s="6" t="n">
        <v>31980</v>
      </c>
      <c r="E26" s="7" t="n"/>
      <c r="F26" s="5">
        <f>B26-C26-D26-E26</f>
        <v/>
      </c>
      <c r="G26" s="8" t="n"/>
      <c r="H26" s="6" t="n"/>
      <c r="I26" s="6" t="n"/>
      <c r="J26" s="6" t="n"/>
      <c r="K26" s="6" t="n"/>
      <c r="L26" s="7" t="n"/>
      <c r="M26" s="140" t="n"/>
    </row>
    <row r="27" ht="15.75" customHeight="1" s="145">
      <c r="A27" s="5" t="inlineStr">
        <is>
          <t>Мамонов А.М.</t>
        </is>
      </c>
      <c r="B27" s="8">
        <f>#REF!*30</f>
        <v/>
      </c>
      <c r="C27" s="6" t="n">
        <v>25000</v>
      </c>
      <c r="D27" s="6" t="n">
        <v>43200</v>
      </c>
      <c r="E27" s="7" t="n"/>
      <c r="F27" s="5">
        <f>B27-C27-D27-E27</f>
        <v/>
      </c>
      <c r="G27" s="8" t="n"/>
      <c r="H27" s="6" t="n"/>
      <c r="I27" s="6" t="n"/>
      <c r="J27" s="6" t="n"/>
      <c r="K27" s="6" t="n"/>
      <c r="L27" s="7" t="n"/>
      <c r="M27" s="140" t="n"/>
    </row>
    <row r="28" ht="15.75" customHeight="1" s="145">
      <c r="A28" s="5" t="inlineStr">
        <is>
          <t>Петров Д.С.</t>
        </is>
      </c>
      <c r="B28" s="8">
        <f>#REF!*30</f>
        <v/>
      </c>
      <c r="C28" s="6" t="n">
        <v>15000</v>
      </c>
      <c r="D28" s="6" t="n">
        <v>30330</v>
      </c>
      <c r="E28" s="7" t="n"/>
      <c r="F28" s="5">
        <f>B28-C28-D28-E28</f>
        <v/>
      </c>
      <c r="G28" s="8" t="n"/>
      <c r="H28" s="6" t="n"/>
      <c r="I28" s="6" t="n"/>
      <c r="J28" s="6" t="n"/>
      <c r="K28" s="6" t="n"/>
      <c r="L28" s="7" t="n"/>
      <c r="M28" s="140" t="n"/>
    </row>
    <row r="29" ht="15.75" customHeight="1" s="145">
      <c r="A29" s="5" t="inlineStr">
        <is>
          <t>Фельдман В.П.</t>
        </is>
      </c>
      <c r="B29" s="8">
        <f>#REF!*30</f>
        <v/>
      </c>
      <c r="C29" s="6" t="n">
        <v>25000</v>
      </c>
      <c r="D29" s="6" t="n">
        <v>30900</v>
      </c>
      <c r="E29" s="7" t="n"/>
      <c r="F29" s="5">
        <f>B29-C29-D29-E29</f>
        <v/>
      </c>
      <c r="G29" s="8" t="n"/>
      <c r="H29" s="6" t="n"/>
      <c r="I29" s="6" t="n"/>
      <c r="J29" s="6" t="n"/>
      <c r="K29" s="6" t="n"/>
      <c r="L29" s="7" t="n"/>
      <c r="M29" s="140" t="n"/>
    </row>
    <row r="30" ht="15.75" customHeight="1" s="145">
      <c r="A30" s="5" t="inlineStr">
        <is>
          <t>Афонин М.М.</t>
        </is>
      </c>
      <c r="B30" s="8">
        <f>#REF!*30</f>
        <v/>
      </c>
      <c r="C30" s="6" t="n">
        <v>15000</v>
      </c>
      <c r="D30" s="6" t="n">
        <v>21750</v>
      </c>
      <c r="E30" s="7" t="n"/>
      <c r="F30" s="5">
        <f>B30-C30-D30-E30</f>
        <v/>
      </c>
      <c r="G30" s="8">
        <f>SUM(B5:B37)</f>
        <v/>
      </c>
      <c r="H30" s="6">
        <f>SUM(C5:C37)</f>
        <v/>
      </c>
      <c r="I30" s="6">
        <f>SUM(D5:D37)</f>
        <v/>
      </c>
      <c r="J30" s="6" t="n"/>
      <c r="K30" s="6">
        <f>SUM(F5:F37)</f>
        <v/>
      </c>
      <c r="L30" s="7">
        <f>G30-H30-I30-J30</f>
        <v/>
      </c>
      <c r="M30" s="140" t="n"/>
    </row>
    <row r="31" ht="15.75" customHeight="1" s="145">
      <c r="A31" s="5" t="inlineStr">
        <is>
          <t>Капустян Д.С.</t>
        </is>
      </c>
      <c r="B31" s="8">
        <f>#REF!*30</f>
        <v/>
      </c>
      <c r="C31" s="6" t="n">
        <v>25000</v>
      </c>
      <c r="D31" s="6" t="n">
        <v>29970</v>
      </c>
      <c r="E31" s="25">
        <f>#REF!</f>
        <v/>
      </c>
      <c r="F31" s="5">
        <f>B31-C31-D31-E31</f>
        <v/>
      </c>
      <c r="G31" s="8">
        <f>G30/30</f>
        <v/>
      </c>
      <c r="H31" s="6">
        <f>H30/30</f>
        <v/>
      </c>
      <c r="I31" s="6">
        <f>I30/30</f>
        <v/>
      </c>
      <c r="J31" s="6" t="n"/>
      <c r="K31" s="6">
        <f>K30/30</f>
        <v/>
      </c>
      <c r="L31" s="7">
        <f>G31-H31-I31-J31</f>
        <v/>
      </c>
      <c r="M31" s="140" t="n"/>
    </row>
    <row r="32" ht="15.75" customHeight="1" s="145">
      <c r="A32" s="5" t="inlineStr">
        <is>
          <t>Суровцев А.М.</t>
        </is>
      </c>
      <c r="B32" s="8">
        <f>#REF!*30</f>
        <v/>
      </c>
      <c r="C32" s="6" t="n">
        <v>20000</v>
      </c>
      <c r="D32" s="6" t="n">
        <v>24360</v>
      </c>
      <c r="E32" s="7" t="n"/>
      <c r="F32" s="5">
        <f>B32-C32-D32-E32</f>
        <v/>
      </c>
      <c r="G32" s="8" t="n"/>
      <c r="H32" s="6" t="n"/>
      <c r="I32" s="6" t="n"/>
      <c r="J32" s="6" t="n"/>
      <c r="K32" s="6" t="n"/>
      <c r="L32" s="7" t="n"/>
      <c r="M32" s="140" t="n"/>
    </row>
    <row r="33" ht="15.75" customHeight="1" s="145">
      <c r="A33" s="10" t="inlineStr">
        <is>
          <t>Лазарев</t>
        </is>
      </c>
      <c r="B33" s="36">
        <f>#REF!*30</f>
        <v/>
      </c>
      <c r="C33" s="9" t="n">
        <v>15000</v>
      </c>
      <c r="D33" s="9" t="n">
        <v>5220</v>
      </c>
      <c r="E33" s="27" t="n"/>
      <c r="F33" s="5">
        <f>B33-C33-D33-E33</f>
        <v/>
      </c>
      <c r="G33" s="36" t="n"/>
      <c r="H33" s="9" t="n"/>
      <c r="I33" s="9" t="n"/>
      <c r="J33" s="9" t="n"/>
      <c r="K33" s="9" t="n"/>
      <c r="L33" s="27" t="n"/>
      <c r="M33" s="140" t="n"/>
    </row>
    <row r="34" ht="15.75" customHeight="1" s="145">
      <c r="A34" s="10" t="inlineStr">
        <is>
          <t>Адаменко</t>
        </is>
      </c>
      <c r="B34" s="36" t="n"/>
      <c r="C34" s="9" t="n"/>
      <c r="D34" s="9" t="n"/>
      <c r="E34" s="27" t="n"/>
      <c r="F34" s="5">
        <f>B34-C34-D34-E34</f>
        <v/>
      </c>
      <c r="G34" s="36" t="n"/>
      <c r="H34" s="9" t="n"/>
      <c r="I34" s="9" t="n"/>
      <c r="J34" s="9" t="n"/>
      <c r="K34" s="9" t="n"/>
      <c r="L34" s="27" t="n"/>
      <c r="M34" s="140" t="n"/>
    </row>
    <row r="35" ht="15.75" customHeight="1" s="145">
      <c r="A35" s="10" t="inlineStr">
        <is>
          <t>Дубинин А.Ф.</t>
        </is>
      </c>
      <c r="B35" s="36">
        <f>#REF!*30</f>
        <v/>
      </c>
      <c r="C35" s="9" t="n"/>
      <c r="D35" s="9" t="n"/>
      <c r="E35" s="27" t="n"/>
      <c r="F35" s="5" t="n"/>
      <c r="G35" s="36" t="n"/>
      <c r="H35" s="9" t="n"/>
      <c r="I35" s="9" t="n"/>
      <c r="J35" s="9" t="n"/>
      <c r="K35" s="9" t="n"/>
      <c r="L35" s="27" t="n"/>
      <c r="M35" s="140" t="n"/>
    </row>
    <row r="36" ht="15.75" customHeight="1" s="145">
      <c r="A36" s="10" t="inlineStr">
        <is>
          <t>Пак В.В.</t>
        </is>
      </c>
      <c r="B36" s="36">
        <f>#REF!*30</f>
        <v/>
      </c>
      <c r="C36" s="9" t="n"/>
      <c r="D36" s="9" t="n"/>
      <c r="E36" s="27" t="n"/>
      <c r="F36" s="5">
        <f>B36-C36-D36-E36</f>
        <v/>
      </c>
      <c r="G36" s="36" t="n"/>
      <c r="H36" s="9" t="n"/>
      <c r="I36" s="9" t="n"/>
      <c r="J36" s="9" t="n"/>
      <c r="K36" s="9" t="n"/>
      <c r="L36" s="27" t="n"/>
      <c r="M36" s="140" t="n"/>
    </row>
    <row r="37" ht="15.75" customHeight="1" s="145">
      <c r="A37" s="10" t="inlineStr">
        <is>
          <t>Шаренда Е.</t>
        </is>
      </c>
      <c r="B37" s="36">
        <f>#REF!*30</f>
        <v/>
      </c>
      <c r="C37" s="9" t="n">
        <v>15000</v>
      </c>
      <c r="D37" s="9" t="n">
        <v>21750</v>
      </c>
      <c r="E37" s="27" t="n"/>
      <c r="F37" s="10">
        <f>B37-C37-D37-E37</f>
        <v/>
      </c>
      <c r="G37" s="36" t="n"/>
      <c r="H37" s="9" t="n"/>
      <c r="I37" s="9" t="n"/>
      <c r="J37" s="9" t="n"/>
      <c r="K37" s="9" t="n"/>
      <c r="L37" s="27" t="n"/>
      <c r="M37" s="140" t="n"/>
    </row>
    <row r="38" ht="15.75" customHeight="1" s="145">
      <c r="A38" s="17" t="n"/>
      <c r="B38" s="19" t="n"/>
      <c r="C38" s="19" t="n"/>
      <c r="D38" s="19" t="n"/>
      <c r="E38" s="19" t="n"/>
      <c r="F38" s="19" t="n"/>
      <c r="G38" s="19" t="n"/>
      <c r="H38" s="19" t="n"/>
      <c r="I38" s="37" t="n"/>
      <c r="J38" s="19" t="n"/>
      <c r="K38" s="19" t="n"/>
      <c r="L38" s="19" t="n"/>
      <c r="M38" s="18" t="n"/>
    </row>
    <row r="39" ht="15.75" customHeight="1" s="145"/>
    <row r="40" ht="15.75" customHeight="1" s="145">
      <c r="A40" t="inlineStr">
        <is>
          <t>март</t>
        </is>
      </c>
    </row>
    <row r="41" ht="15.75" customHeight="1" s="145"/>
    <row r="42" ht="15.75" customHeight="1" s="145">
      <c r="A42" s="28" t="inlineStr">
        <is>
          <t>ФИО</t>
        </is>
      </c>
      <c r="B42" s="28" t="inlineStr">
        <is>
          <t>Итого</t>
        </is>
      </c>
      <c r="C42" s="144" t="inlineStr">
        <is>
          <t>аванс</t>
        </is>
      </c>
      <c r="D42" s="28" t="inlineStr">
        <is>
          <t>карта</t>
        </is>
      </c>
      <c r="E42" s="30" t="inlineStr">
        <is>
          <t>кр/долг</t>
        </is>
      </c>
      <c r="F42" s="31" t="inlineStr">
        <is>
          <t>к выд</t>
        </is>
      </c>
      <c r="G42" s="28" t="inlineStr">
        <is>
          <t>Итого заявл</t>
        </is>
      </c>
      <c r="H42" s="28" t="inlineStr">
        <is>
          <t>Итого ав</t>
        </is>
      </c>
      <c r="I42" s="28" t="inlineStr">
        <is>
          <t>Итого карт</t>
        </is>
      </c>
      <c r="J42" s="28" t="inlineStr">
        <is>
          <t>Итого кр</t>
        </is>
      </c>
      <c r="K42" s="28" t="inlineStr">
        <is>
          <t>Итого к выд</t>
        </is>
      </c>
      <c r="L42" s="32" t="inlineStr">
        <is>
          <t>Проверка к выд</t>
        </is>
      </c>
      <c r="M42" s="33" t="n"/>
    </row>
    <row r="43" ht="15.75" customHeight="1" s="145">
      <c r="A43" s="16" t="inlineStr">
        <is>
          <t>Попов А.Н.</t>
        </is>
      </c>
      <c r="B43" s="34">
        <f>#REF!*30</f>
        <v/>
      </c>
      <c r="C43" s="3" t="n">
        <v>60000</v>
      </c>
      <c r="D43" s="3" t="n">
        <v>0</v>
      </c>
      <c r="E43" s="35" t="n"/>
      <c r="F43" s="2">
        <f>B43-C43-D43-E43</f>
        <v/>
      </c>
      <c r="G43" s="34" t="n"/>
      <c r="H43" s="3" t="n"/>
      <c r="I43" s="3" t="n"/>
      <c r="J43" s="3" t="n"/>
      <c r="K43" s="3" t="n"/>
      <c r="L43" s="35" t="n"/>
      <c r="M43" s="139" t="inlineStr">
        <is>
          <t>ДСИ</t>
        </is>
      </c>
    </row>
    <row r="44" ht="15.75" customHeight="1" s="145">
      <c r="A44" s="5" t="inlineStr">
        <is>
          <t>Кокорев А.В.</t>
        </is>
      </c>
      <c r="B44" s="8">
        <f>#REF!*30</f>
        <v/>
      </c>
      <c r="C44" s="6" t="n">
        <v>30000</v>
      </c>
      <c r="D44" s="6" t="n">
        <v>37774</v>
      </c>
      <c r="E44" s="7" t="n"/>
      <c r="F44" s="5">
        <f>B44-C44-D44-E44</f>
        <v/>
      </c>
      <c r="G44" s="8" t="n"/>
      <c r="H44" s="6" t="n"/>
      <c r="I44" s="6" t="n"/>
      <c r="J44" s="6" t="n"/>
      <c r="K44" s="6" t="n"/>
      <c r="L44" s="7" t="n"/>
      <c r="M44" s="140" t="n"/>
    </row>
    <row r="45" ht="15.75" customHeight="1" s="145">
      <c r="A45" s="5" t="inlineStr">
        <is>
          <t>Сёмин А.А.</t>
        </is>
      </c>
      <c r="B45" s="8">
        <f>#REF!*30</f>
        <v/>
      </c>
      <c r="C45" s="6" t="n">
        <v>25000</v>
      </c>
      <c r="D45" s="6" t="n">
        <v>24360</v>
      </c>
      <c r="E45" s="7" t="n"/>
      <c r="F45" s="5">
        <f>B45-C45-D45-E45</f>
        <v/>
      </c>
      <c r="G45" s="8" t="n"/>
      <c r="H45" s="6" t="n"/>
      <c r="I45" s="6" t="n"/>
      <c r="J45" s="6" t="n"/>
      <c r="K45" s="6" t="n"/>
      <c r="L45" s="7" t="n"/>
      <c r="M45" s="140" t="n"/>
    </row>
    <row r="46" ht="15.75" customHeight="1" s="145">
      <c r="A46" s="5" t="inlineStr">
        <is>
          <t>Милосердов Д.В.</t>
        </is>
      </c>
      <c r="B46" s="8">
        <f>#REF!*30</f>
        <v/>
      </c>
      <c r="C46" s="6" t="n">
        <v>0</v>
      </c>
      <c r="D46" s="6" t="n">
        <v>33487.86</v>
      </c>
      <c r="E46" s="7" t="n"/>
      <c r="F46" s="5">
        <f>B46-C46-D46-E46</f>
        <v/>
      </c>
      <c r="G46" s="8" t="n"/>
      <c r="H46" s="6" t="n"/>
      <c r="I46" s="6" t="n"/>
      <c r="J46" s="6" t="n"/>
      <c r="K46" s="6" t="n"/>
      <c r="L46" s="7" t="n"/>
      <c r="M46" s="140" t="n"/>
    </row>
    <row r="47" ht="15.75" customHeight="1" s="145">
      <c r="A47" s="5" t="inlineStr">
        <is>
          <t>Линшиц М.В.</t>
        </is>
      </c>
      <c r="B47" s="8">
        <f>#REF!*30</f>
        <v/>
      </c>
      <c r="C47" s="6" t="n">
        <v>20000</v>
      </c>
      <c r="D47" s="6" t="n">
        <v>22620</v>
      </c>
      <c r="E47" s="7" t="n"/>
      <c r="F47" s="5">
        <f>B47-C47-D47-E47</f>
        <v/>
      </c>
      <c r="G47" s="8" t="n"/>
      <c r="H47" s="6" t="inlineStr">
        <is>
          <t>оркс</t>
        </is>
      </c>
      <c r="I47" s="6" t="inlineStr">
        <is>
          <t>ом</t>
        </is>
      </c>
      <c r="J47" s="6" t="n"/>
      <c r="K47" s="6" t="n"/>
      <c r="L47" s="7" t="n"/>
      <c r="M47" s="140" t="n"/>
    </row>
    <row r="48" ht="15.75" customHeight="1" s="145">
      <c r="A48" s="5" t="inlineStr">
        <is>
          <t>Дорофеев П.Г.</t>
        </is>
      </c>
      <c r="B48" s="8">
        <f>#REF!*30</f>
        <v/>
      </c>
      <c r="C48" s="6" t="n">
        <v>15000</v>
      </c>
      <c r="D48" s="6" t="n">
        <v>27113.68</v>
      </c>
      <c r="E48" s="7" t="n"/>
      <c r="F48" s="5">
        <f>B48-C48-D48-E48</f>
        <v/>
      </c>
      <c r="G48" s="8" t="n"/>
      <c r="H48" s="6">
        <f>D61+D49+D69+D64+D56+D65+D66+D62+D63+D67</f>
        <v/>
      </c>
      <c r="I48" s="6">
        <f>D68+D60+D53+D57+D50+D48+D59+D55+D44+D71+D47+D46+D52+D45+D58+D70+D75+D54</f>
        <v/>
      </c>
      <c r="J48" s="6">
        <f>SUM(H48:I48)</f>
        <v/>
      </c>
      <c r="K48" s="6" t="n"/>
      <c r="L48" s="7" t="n"/>
      <c r="M48" s="140" t="n"/>
    </row>
    <row r="49" ht="15.75" customHeight="1" s="145">
      <c r="A49" s="5" t="inlineStr">
        <is>
          <t>Зайцев М.Е</t>
        </is>
      </c>
      <c r="B49" s="8">
        <f>#REF!*30</f>
        <v/>
      </c>
      <c r="C49" s="6" t="n">
        <v>20000</v>
      </c>
      <c r="D49" s="6" t="n">
        <v>24360</v>
      </c>
      <c r="E49" s="7">
        <f>#REF!*30</f>
        <v/>
      </c>
      <c r="F49" s="5">
        <f>B49-C49-D49-E49</f>
        <v/>
      </c>
      <c r="G49" s="8" t="n"/>
      <c r="H49" s="6" t="n"/>
      <c r="I49" s="6" t="n"/>
      <c r="J49" s="6" t="n"/>
      <c r="K49" s="6" t="n"/>
      <c r="L49" s="7" t="n"/>
      <c r="M49" s="140" t="n"/>
    </row>
    <row r="50" ht="15.75" customHeight="1" s="145">
      <c r="A50" s="5" t="inlineStr">
        <is>
          <t>Власишен В.С.</t>
        </is>
      </c>
      <c r="B50" s="8">
        <f>#REF!*30</f>
        <v/>
      </c>
      <c r="C50" s="6" t="n">
        <v>10000</v>
      </c>
      <c r="D50" s="6" t="n">
        <v>24969</v>
      </c>
      <c r="E50" s="7" t="n"/>
      <c r="F50" s="5">
        <f>B50-C50-D50-E50</f>
        <v/>
      </c>
      <c r="G50" s="8" t="n"/>
      <c r="H50" s="6" t="n"/>
      <c r="I50" s="6" t="n"/>
      <c r="J50" s="6" t="n"/>
      <c r="K50" s="6" t="n"/>
      <c r="L50" s="7" t="n"/>
      <c r="M50" s="140" t="n"/>
    </row>
    <row r="51" ht="15.75" customHeight="1" s="145">
      <c r="A51" s="5" t="inlineStr">
        <is>
          <t>Кашеваров А.И.</t>
        </is>
      </c>
      <c r="B51" s="8">
        <f>#REF!*30</f>
        <v/>
      </c>
      <c r="C51" s="6" t="n">
        <v>25000</v>
      </c>
      <c r="D51" s="6" t="n">
        <v>0</v>
      </c>
      <c r="E51" s="7" t="n"/>
      <c r="F51" s="5">
        <f>B51-C51-D51-E51</f>
        <v/>
      </c>
      <c r="G51" s="8" t="n"/>
      <c r="H51" s="6" t="n"/>
      <c r="I51" s="6" t="n"/>
      <c r="J51" s="6" t="n"/>
      <c r="K51" s="6" t="n"/>
      <c r="L51" s="7" t="n"/>
      <c r="M51" s="140" t="n"/>
    </row>
    <row r="52" ht="15.75" customHeight="1" s="145">
      <c r="A52" s="5" t="inlineStr">
        <is>
          <t>Рыбалка Е.</t>
        </is>
      </c>
      <c r="B52" s="8">
        <f>#REF!*30</f>
        <v/>
      </c>
      <c r="C52" s="6" t="n">
        <v>0</v>
      </c>
      <c r="D52" s="6" t="n">
        <v>5203.24</v>
      </c>
      <c r="E52" s="7" t="n"/>
      <c r="F52" s="5">
        <f>B52-C52-D52-E52</f>
        <v/>
      </c>
      <c r="G52" s="8" t="n"/>
      <c r="H52" s="6" t="n"/>
      <c r="I52" s="6" t="n"/>
      <c r="J52" s="6" t="n"/>
      <c r="K52" s="6" t="n"/>
      <c r="L52" s="7" t="n"/>
      <c r="M52" s="140" t="n"/>
    </row>
    <row r="53" ht="15.75" customHeight="1" s="145">
      <c r="A53" s="5" t="inlineStr">
        <is>
          <t>Бобылева И.В.</t>
        </is>
      </c>
      <c r="B53" s="8">
        <f>#REF!*30</f>
        <v/>
      </c>
      <c r="C53" s="6" t="n">
        <v>15000</v>
      </c>
      <c r="D53" s="6" t="n">
        <v>23490</v>
      </c>
      <c r="E53" s="7" t="n"/>
      <c r="F53" s="5">
        <f>B53-C53-D53-E53</f>
        <v/>
      </c>
      <c r="G53" s="8" t="n"/>
      <c r="H53" s="6" t="n"/>
      <c r="I53" s="6" t="n"/>
      <c r="J53" s="6" t="n"/>
      <c r="K53" s="6" t="n"/>
      <c r="L53" s="7" t="n"/>
      <c r="M53" s="140" t="n"/>
    </row>
    <row r="54" ht="15.75" customHeight="1" s="145">
      <c r="A54" s="5" t="inlineStr">
        <is>
          <t>Яковлев А.Р.</t>
        </is>
      </c>
      <c r="B54" s="8">
        <f>#REF!*30</f>
        <v/>
      </c>
      <c r="C54" s="6" t="n">
        <v>20000</v>
      </c>
      <c r="D54" s="6" t="n">
        <v>29382.64</v>
      </c>
      <c r="E54" s="7" t="n"/>
      <c r="F54" s="5">
        <f>B54-C54-D54-E54</f>
        <v/>
      </c>
      <c r="G54" s="8" t="n"/>
      <c r="H54" s="6" t="n"/>
      <c r="I54" s="6" t="n"/>
      <c r="J54" s="6" t="n"/>
      <c r="K54" s="6" t="n"/>
      <c r="L54" s="7" t="n"/>
      <c r="M54" s="140" t="n"/>
    </row>
    <row r="55" ht="15.75" customHeight="1" s="145">
      <c r="A55" s="5" t="inlineStr">
        <is>
          <t>Иванов К.А.</t>
        </is>
      </c>
      <c r="B55" s="8">
        <f>#REF!*30</f>
        <v/>
      </c>
      <c r="C55" s="6" t="n">
        <v>25000</v>
      </c>
      <c r="D55" s="6" t="n">
        <v>30450</v>
      </c>
      <c r="E55" s="7" t="n"/>
      <c r="F55" s="5">
        <f>B55-C55-D55-E55</f>
        <v/>
      </c>
      <c r="G55" s="8" t="n"/>
      <c r="H55" s="6" t="n"/>
      <c r="I55" s="6" t="n"/>
      <c r="J55" s="6" t="n"/>
      <c r="K55" s="6" t="n"/>
      <c r="L55" s="7" t="n"/>
      <c r="M55" s="140" t="n"/>
    </row>
    <row r="56" ht="15.75" customHeight="1" s="145">
      <c r="A56" s="5" t="inlineStr">
        <is>
          <t>Лунин С.В./СЛ</t>
        </is>
      </c>
      <c r="B56" s="8">
        <f>#REF!*30</f>
        <v/>
      </c>
      <c r="C56" s="6" t="n">
        <v>25000</v>
      </c>
      <c r="D56" s="6" t="n">
        <v>26891</v>
      </c>
      <c r="E56" s="7" t="n"/>
      <c r="F56" s="5">
        <f>B56-C56-D56-E56</f>
        <v/>
      </c>
      <c r="G56" s="8" t="n"/>
      <c r="H56" s="6" t="n"/>
      <c r="I56" s="6" t="n"/>
      <c r="J56" s="6" t="n"/>
      <c r="K56" s="6" t="n"/>
      <c r="L56" s="7" t="n"/>
      <c r="M56" s="140" t="n"/>
    </row>
    <row r="57" ht="15.75" customHeight="1" s="145">
      <c r="A57" s="5" t="inlineStr">
        <is>
          <t>Викулина Н.А.</t>
        </is>
      </c>
      <c r="B57" s="8">
        <f>#REF!*30</f>
        <v/>
      </c>
      <c r="C57" s="6" t="n">
        <v>20000</v>
      </c>
      <c r="D57" s="6" t="n">
        <v>20010</v>
      </c>
      <c r="E57" s="7" t="n"/>
      <c r="F57" s="5">
        <f>B57-C57-D57-E57</f>
        <v/>
      </c>
      <c r="G57" s="8" t="n"/>
      <c r="H57" s="6" t="n"/>
      <c r="I57" s="6" t="n"/>
      <c r="J57" s="6" t="n"/>
      <c r="K57" s="6" t="n"/>
      <c r="L57" s="7" t="n"/>
      <c r="M57" s="140" t="n"/>
    </row>
    <row r="58" ht="15.75" customHeight="1" s="145">
      <c r="A58" s="5" t="inlineStr">
        <is>
          <t>Стржелинский О.</t>
        </is>
      </c>
      <c r="B58" s="8">
        <f>#REF!*30</f>
        <v/>
      </c>
      <c r="C58" s="6" t="n">
        <v>25000</v>
      </c>
      <c r="D58" s="6" t="n">
        <v>34593.82</v>
      </c>
      <c r="E58" s="7" t="n"/>
      <c r="F58" s="5">
        <f>B58-C58-D58-E58</f>
        <v/>
      </c>
      <c r="G58" s="8" t="n"/>
      <c r="H58" s="6" t="n"/>
      <c r="I58" s="6" t="n"/>
      <c r="J58" s="6" t="n"/>
      <c r="K58" s="6" t="n"/>
      <c r="L58" s="7" t="n"/>
      <c r="M58" s="140" t="n"/>
    </row>
    <row r="59" ht="15.75" customHeight="1" s="145">
      <c r="A59" s="5" t="inlineStr">
        <is>
          <t>Жидков И.А.</t>
        </is>
      </c>
      <c r="B59" s="8">
        <f>#REF!*30</f>
        <v/>
      </c>
      <c r="C59" s="6" t="n">
        <v>25000</v>
      </c>
      <c r="D59" s="6" t="n">
        <v>19575</v>
      </c>
      <c r="E59" s="7" t="n"/>
      <c r="F59" s="5">
        <f>B59-C59-D59-E59</f>
        <v/>
      </c>
      <c r="G59" s="8" t="n"/>
      <c r="H59" s="6" t="n"/>
      <c r="I59" s="6" t="n"/>
      <c r="J59" s="6" t="n"/>
      <c r="K59" s="6" t="n"/>
      <c r="L59" s="7" t="n"/>
      <c r="M59" s="140" t="n"/>
    </row>
    <row r="60" ht="15.75" customHeight="1" s="145">
      <c r="A60" s="5" t="inlineStr">
        <is>
          <t>Баринов Е.В.</t>
        </is>
      </c>
      <c r="B60" s="8">
        <f>#REF!*30</f>
        <v/>
      </c>
      <c r="C60" s="6" t="n">
        <v>15000</v>
      </c>
      <c r="D60" s="6" t="n">
        <v>13833</v>
      </c>
      <c r="E60" s="7" t="n"/>
      <c r="F60" s="5">
        <f>B60-C60-D60-E60</f>
        <v/>
      </c>
      <c r="G60" s="8" t="n"/>
      <c r="H60" s="6" t="n"/>
      <c r="I60" s="6" t="n"/>
      <c r="J60" s="6" t="n"/>
      <c r="K60" s="6" t="n"/>
      <c r="L60" s="7" t="n"/>
      <c r="M60" s="140" t="n"/>
    </row>
    <row r="61" ht="15.75" customHeight="1" s="145">
      <c r="A61" s="5" t="inlineStr">
        <is>
          <t>Загребин И.</t>
        </is>
      </c>
      <c r="B61" s="8">
        <f>#REF!*30</f>
        <v/>
      </c>
      <c r="C61" s="6" t="n">
        <v>20000</v>
      </c>
      <c r="D61" s="6" t="n">
        <v>16571.8</v>
      </c>
      <c r="E61" s="7" t="n"/>
      <c r="F61" s="5">
        <f>B61-C61-D61-E61</f>
        <v/>
      </c>
      <c r="G61" s="8" t="n"/>
      <c r="H61" s="6" t="n"/>
      <c r="I61" s="6" t="n"/>
      <c r="J61" s="6" t="n"/>
      <c r="K61" s="6" t="n"/>
      <c r="L61" s="7" t="n"/>
      <c r="M61" s="140" t="n"/>
    </row>
    <row r="62" ht="15.75" customHeight="1" s="145">
      <c r="A62" s="5" t="inlineStr">
        <is>
          <t>Скрипник А.А.</t>
        </is>
      </c>
      <c r="B62" s="8">
        <f>#REF!*30</f>
        <v/>
      </c>
      <c r="C62" s="6" t="n">
        <v>25000</v>
      </c>
      <c r="D62" s="6" t="n">
        <v>38252.82</v>
      </c>
      <c r="E62" s="7" t="n"/>
      <c r="F62" s="5">
        <f>B62-C62-D62-E62</f>
        <v/>
      </c>
      <c r="G62" s="8" t="n"/>
      <c r="H62" s="6" t="n"/>
      <c r="I62" s="6" t="n"/>
      <c r="J62" s="6" t="n"/>
      <c r="K62" s="6" t="n"/>
      <c r="L62" s="7" t="n"/>
      <c r="M62" s="140" t="n"/>
    </row>
    <row r="63" ht="15.75" customHeight="1" s="145">
      <c r="A63" s="5" t="inlineStr">
        <is>
          <t>Стифутин А.С.</t>
        </is>
      </c>
      <c r="B63" s="8">
        <f>#REF!*30</f>
        <v/>
      </c>
      <c r="C63" s="6" t="n">
        <v>25000</v>
      </c>
      <c r="D63" s="6" t="n">
        <v>44778</v>
      </c>
      <c r="E63" s="25">
        <f>#REF!</f>
        <v/>
      </c>
      <c r="F63" s="5">
        <f>B63-C63-D63-E63</f>
        <v/>
      </c>
      <c r="G63" s="8" t="n"/>
      <c r="H63" s="6" t="n"/>
      <c r="I63" s="6" t="n"/>
      <c r="J63" s="6" t="n"/>
      <c r="K63" s="6" t="n"/>
      <c r="L63" s="7" t="n"/>
      <c r="M63" s="140" t="n"/>
    </row>
    <row r="64" ht="15.75" customHeight="1" s="145">
      <c r="A64" s="5" t="inlineStr">
        <is>
          <t>Коростелёв О.Б.</t>
        </is>
      </c>
      <c r="B64" s="8">
        <f>#REF!*30</f>
        <v/>
      </c>
      <c r="C64" s="6" t="n">
        <v>15000</v>
      </c>
      <c r="D64" s="6" t="n">
        <v>31972</v>
      </c>
      <c r="E64" s="7" t="n"/>
      <c r="F64" s="5">
        <f>B64-C64-D64-E64</f>
        <v/>
      </c>
      <c r="G64" s="8" t="n"/>
      <c r="H64" s="6" t="n"/>
      <c r="I64" s="6" t="n"/>
      <c r="J64" s="6" t="n"/>
      <c r="K64" s="6" t="n"/>
      <c r="L64" s="7" t="n"/>
      <c r="M64" s="140" t="n"/>
    </row>
    <row r="65" ht="15.75" customHeight="1" s="145">
      <c r="A65" s="5" t="inlineStr">
        <is>
          <t>Мамонов А.М.</t>
        </is>
      </c>
      <c r="B65" s="8">
        <f>#REF!*30</f>
        <v/>
      </c>
      <c r="C65" s="6" t="n">
        <v>25000</v>
      </c>
      <c r="D65" s="6" t="n">
        <v>41619.4</v>
      </c>
      <c r="E65" s="7" t="n"/>
      <c r="F65" s="5">
        <f>B65-C65-D65-E65</f>
        <v/>
      </c>
      <c r="G65" s="8" t="n"/>
      <c r="H65" s="6" t="n"/>
      <c r="I65" s="6" t="n"/>
      <c r="J65" s="6" t="n"/>
      <c r="K65" s="6" t="n"/>
      <c r="L65" s="7" t="n"/>
      <c r="M65" s="140" t="n"/>
    </row>
    <row r="66" ht="15.75" customHeight="1" s="145">
      <c r="A66" s="5" t="inlineStr">
        <is>
          <t>Петров Д.С.</t>
        </is>
      </c>
      <c r="B66" s="8">
        <f>#REF!*30</f>
        <v/>
      </c>
      <c r="C66" s="6" t="n">
        <v>15000</v>
      </c>
      <c r="D66" s="6" t="n">
        <v>29137.48</v>
      </c>
      <c r="E66" s="7" t="n"/>
      <c r="F66" s="5">
        <f>B66-C66-D66-E66</f>
        <v/>
      </c>
      <c r="G66" s="8" t="n"/>
      <c r="H66" s="6" t="n"/>
      <c r="I66" s="6" t="n"/>
      <c r="J66" s="6" t="n"/>
      <c r="K66" s="6" t="n"/>
      <c r="L66" s="7" t="n"/>
      <c r="M66" s="140" t="n"/>
    </row>
    <row r="67" ht="15.75" customHeight="1" s="145">
      <c r="A67" s="5" t="inlineStr">
        <is>
          <t>Фельдман В.П.</t>
        </is>
      </c>
      <c r="B67" s="8">
        <f>#REF!*30</f>
        <v/>
      </c>
      <c r="C67" s="6" t="n">
        <v>25000</v>
      </c>
      <c r="D67" s="6" t="n">
        <v>30885</v>
      </c>
      <c r="E67" s="7" t="n"/>
      <c r="F67" s="5">
        <f>B67-C67-D67-E67</f>
        <v/>
      </c>
      <c r="G67" s="8" t="n"/>
      <c r="H67" s="6" t="n"/>
      <c r="I67" s="6" t="n"/>
      <c r="J67" s="6" t="n"/>
      <c r="K67" s="6" t="n"/>
      <c r="L67" s="7" t="n"/>
      <c r="M67" s="140" t="n"/>
    </row>
    <row r="68" ht="15.75" customHeight="1" s="145">
      <c r="A68" s="5" t="inlineStr">
        <is>
          <t>Афонин М.М.</t>
        </is>
      </c>
      <c r="B68" s="8">
        <f>#REF!*30</f>
        <v/>
      </c>
      <c r="C68" s="6" t="n">
        <v>15000</v>
      </c>
      <c r="D68" s="6" t="n">
        <v>21750</v>
      </c>
      <c r="E68" s="7" t="n"/>
      <c r="F68" s="5">
        <f>B68-C68-D68-E68</f>
        <v/>
      </c>
      <c r="G68" s="8">
        <f>SUM(B43:B75)</f>
        <v/>
      </c>
      <c r="H68" s="6">
        <f>SUM(C43:C75)</f>
        <v/>
      </c>
      <c r="I68" s="6">
        <f>SUM(D43:D75)</f>
        <v/>
      </c>
      <c r="J68" s="6" t="n"/>
      <c r="K68" s="6">
        <f>SUM(F43:F75)</f>
        <v/>
      </c>
      <c r="L68" s="7">
        <f>G68-H68-I68-J68</f>
        <v/>
      </c>
      <c r="M68" s="140" t="n"/>
    </row>
    <row r="69" ht="15.75" customHeight="1" s="145">
      <c r="A69" s="5" t="inlineStr">
        <is>
          <t>Капустян Д.С.</t>
        </is>
      </c>
      <c r="B69" s="8">
        <f>#REF!*30</f>
        <v/>
      </c>
      <c r="C69" s="6" t="n">
        <v>25000</v>
      </c>
      <c r="D69" s="6" t="n">
        <v>29971</v>
      </c>
      <c r="E69" s="25">
        <f>#REF!</f>
        <v/>
      </c>
      <c r="F69" s="5">
        <f>B69-C69-D69-E69</f>
        <v/>
      </c>
      <c r="G69" s="8">
        <f>G68/30</f>
        <v/>
      </c>
      <c r="H69" s="6">
        <f>H68/30</f>
        <v/>
      </c>
      <c r="I69" s="6">
        <f>I68/30</f>
        <v/>
      </c>
      <c r="J69" s="6" t="n"/>
      <c r="K69" s="6">
        <f>K68/30</f>
        <v/>
      </c>
      <c r="L69" s="7">
        <f>G69-H69-I69-J69</f>
        <v/>
      </c>
      <c r="M69" s="140" t="n"/>
    </row>
    <row r="70" ht="15.75" customHeight="1" s="145">
      <c r="A70" s="5" t="inlineStr">
        <is>
          <t>Суровцев А.М.</t>
        </is>
      </c>
      <c r="B70" s="8">
        <f>#REF!*30</f>
        <v/>
      </c>
      <c r="C70" s="6" t="n">
        <v>20000</v>
      </c>
      <c r="D70" s="6" t="n">
        <v>24360</v>
      </c>
      <c r="E70" s="7" t="n"/>
      <c r="F70" s="5">
        <f>B70-C70-D70-E70</f>
        <v/>
      </c>
      <c r="G70" s="8" t="n"/>
      <c r="H70" s="6" t="n"/>
      <c r="I70" s="6" t="n"/>
      <c r="J70" s="6" t="n"/>
      <c r="K70" s="6" t="n"/>
      <c r="L70" s="7" t="n"/>
      <c r="M70" s="140" t="n"/>
    </row>
    <row r="71" ht="15.75" customHeight="1" s="145">
      <c r="A71" s="10" t="inlineStr">
        <is>
          <t>Лазарев</t>
        </is>
      </c>
      <c r="B71" s="36">
        <f>#REF!*30</f>
        <v/>
      </c>
      <c r="C71" s="9" t="n">
        <v>15000</v>
      </c>
      <c r="D71" s="9" t="n">
        <v>22620</v>
      </c>
      <c r="E71" s="27" t="n"/>
      <c r="F71" s="5">
        <f>B71-C71-D71-E71</f>
        <v/>
      </c>
      <c r="G71" s="36" t="n"/>
      <c r="H71" s="9" t="n"/>
      <c r="I71" s="9" t="n"/>
      <c r="J71" s="9" t="n"/>
      <c r="K71" s="9" t="n"/>
      <c r="L71" s="27" t="n"/>
      <c r="M71" s="140" t="n"/>
    </row>
    <row r="72" ht="15.75" customHeight="1" s="145">
      <c r="A72" s="10" t="inlineStr">
        <is>
          <t>Адаменко</t>
        </is>
      </c>
      <c r="B72" s="36" t="n"/>
      <c r="C72" s="9" t="n"/>
      <c r="D72" s="9" t="n"/>
      <c r="E72" s="27" t="n"/>
      <c r="F72" s="5">
        <f>B72-C72-D72-E72</f>
        <v/>
      </c>
      <c r="G72" s="36" t="n"/>
      <c r="H72" s="9" t="n"/>
      <c r="I72" s="9" t="n"/>
      <c r="J72" s="9" t="n"/>
      <c r="K72" s="9" t="n"/>
      <c r="L72" s="27" t="n"/>
      <c r="M72" s="140" t="n"/>
    </row>
    <row r="73" ht="15.75" customHeight="1" s="145">
      <c r="A73" s="10" t="inlineStr">
        <is>
          <t>Дубинин А.Ф.</t>
        </is>
      </c>
      <c r="B73" s="36">
        <f>#REF!*30</f>
        <v/>
      </c>
      <c r="C73" s="9" t="n"/>
      <c r="D73" s="9" t="n"/>
      <c r="E73" s="27" t="n"/>
      <c r="F73" s="5" t="n"/>
      <c r="G73" s="36" t="n"/>
      <c r="H73" s="9" t="n"/>
      <c r="I73" s="9" t="n"/>
      <c r="J73" s="9" t="n"/>
      <c r="K73" s="9" t="n"/>
      <c r="L73" s="27" t="n"/>
      <c r="M73" s="140" t="n"/>
    </row>
    <row r="74" ht="15.75" customHeight="1" s="145">
      <c r="A74" s="10" t="inlineStr">
        <is>
          <t>Пак В.В.</t>
        </is>
      </c>
      <c r="B74" s="36">
        <f>#REF!*30</f>
        <v/>
      </c>
      <c r="C74" s="9" t="n"/>
      <c r="D74" s="9" t="n"/>
      <c r="E74" s="27" t="n"/>
      <c r="F74" s="5">
        <f>B74-C74-D74-E74</f>
        <v/>
      </c>
      <c r="G74" s="36" t="n"/>
      <c r="H74" s="9" t="n"/>
      <c r="I74" s="9" t="n"/>
      <c r="J74" s="9" t="n"/>
      <c r="K74" s="9" t="n"/>
      <c r="L74" s="27" t="n"/>
      <c r="M74" s="140" t="n"/>
    </row>
    <row r="75" ht="15.75" customHeight="1" s="145">
      <c r="A75" s="10" t="inlineStr">
        <is>
          <t>Шаренда Е.</t>
        </is>
      </c>
      <c r="B75" s="36">
        <f>#REF!*30</f>
        <v/>
      </c>
      <c r="C75" s="9" t="n">
        <v>15000</v>
      </c>
      <c r="D75" s="9" t="n">
        <v>21750</v>
      </c>
      <c r="E75" s="27" t="n"/>
      <c r="F75" s="10">
        <f>B75-C75-D75-E75</f>
        <v/>
      </c>
      <c r="G75" s="36" t="n"/>
      <c r="H75" s="9" t="n"/>
      <c r="I75" s="9" t="n"/>
      <c r="J75" s="9" t="n"/>
      <c r="K75" s="9" t="n"/>
      <c r="L75" s="27" t="n"/>
      <c r="M75" s="140" t="n"/>
    </row>
    <row r="76" ht="15.75" customHeight="1" s="145">
      <c r="A76" s="17" t="n"/>
      <c r="B76" s="19" t="n"/>
      <c r="C76" s="19" t="n"/>
      <c r="D76" s="19" t="n"/>
      <c r="E76" s="19" t="n"/>
      <c r="F76" s="19" t="n"/>
      <c r="G76" s="19" t="n"/>
      <c r="H76" s="19" t="n"/>
      <c r="I76" s="37" t="n"/>
      <c r="J76" s="19" t="n"/>
      <c r="K76" s="19" t="n"/>
      <c r="L76" s="19" t="n"/>
      <c r="M76" s="18" t="n"/>
    </row>
    <row r="77" ht="15.75" customHeight="1" s="145"/>
    <row r="78" ht="15.75" customHeight="1" s="145"/>
    <row r="79" ht="15.75" customHeight="1" s="145"/>
    <row r="80" ht="15.75" customHeight="1" s="145">
      <c r="A80" s="141" t="inlineStr">
        <is>
          <t>май</t>
        </is>
      </c>
      <c r="B80" s="142" t="n"/>
      <c r="C80" s="142" t="n"/>
    </row>
    <row r="81" ht="15.75" customHeight="1" s="145">
      <c r="A81" s="28" t="inlineStr">
        <is>
          <t>ФИО</t>
        </is>
      </c>
      <c r="B81" s="28" t="inlineStr">
        <is>
          <t>Итого</t>
        </is>
      </c>
      <c r="C81" s="144" t="inlineStr">
        <is>
          <t>аванс</t>
        </is>
      </c>
      <c r="D81" s="28" t="inlineStr">
        <is>
          <t>карта</t>
        </is>
      </c>
      <c r="E81" s="144" t="inlineStr">
        <is>
          <t>кр/долг</t>
        </is>
      </c>
      <c r="F81" s="1" t="inlineStr">
        <is>
          <t>к выд</t>
        </is>
      </c>
      <c r="G81" s="28" t="inlineStr">
        <is>
          <t>Итого заявл</t>
        </is>
      </c>
      <c r="H81" s="28" t="inlineStr">
        <is>
          <t>Итого ав</t>
        </is>
      </c>
      <c r="I81" s="28" t="inlineStr">
        <is>
          <t>Итого карт</t>
        </is>
      </c>
      <c r="J81" s="28" t="inlineStr">
        <is>
          <t>Итого кр</t>
        </is>
      </c>
      <c r="K81" s="28" t="inlineStr">
        <is>
          <t>Итого к выд</t>
        </is>
      </c>
      <c r="L81" s="32" t="inlineStr">
        <is>
          <t>Проверка к выд</t>
        </is>
      </c>
      <c r="M81" s="33" t="n"/>
    </row>
    <row r="82" ht="15.75" customHeight="1" s="145">
      <c r="A82" s="16" t="inlineStr">
        <is>
          <t>Попов А.Н.</t>
        </is>
      </c>
      <c r="B82" s="34">
        <f>#REF!*30</f>
        <v/>
      </c>
      <c r="C82" s="3" t="n">
        <v>0</v>
      </c>
      <c r="D82" s="3" t="n"/>
      <c r="E82" s="35" t="n"/>
      <c r="F82" s="2">
        <f>B82-C82-D82-E82</f>
        <v/>
      </c>
      <c r="G82" s="34" t="n"/>
      <c r="H82" s="3" t="n"/>
      <c r="I82" s="3" t="n"/>
      <c r="J82" s="3" t="n"/>
      <c r="K82" s="3" t="n"/>
      <c r="L82" s="35" t="n"/>
      <c r="M82" s="139" t="inlineStr">
        <is>
          <t>ДСИ</t>
        </is>
      </c>
    </row>
    <row r="83" ht="15.75" customHeight="1" s="145">
      <c r="A83" s="5" t="inlineStr">
        <is>
          <t>Кокорев А.В.</t>
        </is>
      </c>
      <c r="B83" s="8">
        <f>#REF!*30</f>
        <v/>
      </c>
      <c r="C83" s="6" t="n">
        <v>30000</v>
      </c>
      <c r="D83" s="6" t="n">
        <v>37774</v>
      </c>
      <c r="E83" s="7" t="n"/>
      <c r="F83" s="5">
        <f>B83-C83-D83-E83</f>
        <v/>
      </c>
      <c r="G83" s="8" t="n"/>
      <c r="H83" s="6" t="n"/>
      <c r="I83" s="6" t="n"/>
      <c r="J83" s="6" t="n"/>
      <c r="K83" s="6" t="n"/>
      <c r="L83" s="7" t="n"/>
      <c r="M83" s="140" t="n"/>
    </row>
    <row r="84" ht="15.75" customHeight="1" s="145">
      <c r="A84" s="5" t="inlineStr">
        <is>
          <t>Сёмин А.А.</t>
        </is>
      </c>
      <c r="B84" s="8">
        <f>#REF!*30</f>
        <v/>
      </c>
      <c r="C84" s="6" t="n">
        <v>25000</v>
      </c>
      <c r="D84" s="6" t="n">
        <v>24360</v>
      </c>
      <c r="E84" s="7" t="n"/>
      <c r="F84" s="5">
        <f>B84-C84-D84-E84</f>
        <v/>
      </c>
      <c r="G84" s="8" t="n"/>
      <c r="H84" s="6" t="n"/>
      <c r="I84" s="6" t="n"/>
      <c r="J84" s="6" t="n"/>
      <c r="K84" s="6" t="n"/>
      <c r="L84" s="7" t="n"/>
      <c r="M84" s="140" t="n"/>
    </row>
    <row r="85" ht="15.75" customHeight="1" s="145">
      <c r="A85" s="5" t="inlineStr">
        <is>
          <t>Милосердов Д.В.</t>
        </is>
      </c>
      <c r="B85" s="8">
        <f>#REF!*30</f>
        <v/>
      </c>
      <c r="C85" s="6" t="n"/>
      <c r="D85" s="6" t="n">
        <v>33538</v>
      </c>
      <c r="E85" s="7" t="n"/>
      <c r="F85" s="5">
        <f>B85-C85-D85-E85</f>
        <v/>
      </c>
      <c r="G85" s="8" t="n"/>
      <c r="H85" s="6" t="n"/>
      <c r="I85" s="6" t="n"/>
      <c r="J85" s="6" t="n"/>
      <c r="K85" s="6" t="n"/>
      <c r="L85" s="7" t="n"/>
      <c r="M85" s="140" t="n"/>
    </row>
    <row r="86" ht="15.75" customHeight="1" s="145">
      <c r="A86" s="5" t="inlineStr">
        <is>
          <t>Линшиц М.В.</t>
        </is>
      </c>
      <c r="B86" s="8">
        <f>#REF!*30</f>
        <v/>
      </c>
      <c r="C86" s="6" t="n">
        <v>20000</v>
      </c>
      <c r="D86" s="6" t="n">
        <v>22620</v>
      </c>
      <c r="E86" s="7" t="n"/>
      <c r="F86" s="5">
        <f>B86-C86-D86-E86</f>
        <v/>
      </c>
      <c r="G86" s="8" t="n"/>
      <c r="H86" s="6" t="inlineStr">
        <is>
          <t>оркс</t>
        </is>
      </c>
      <c r="I86" s="6" t="inlineStr">
        <is>
          <t>ом</t>
        </is>
      </c>
      <c r="J86" s="6" t="n"/>
      <c r="K86" s="6" t="n"/>
      <c r="L86" s="7" t="n"/>
      <c r="M86" s="140" t="n"/>
    </row>
    <row r="87" ht="15.75" customHeight="1" s="145">
      <c r="A87" s="5" t="inlineStr">
        <is>
          <t>Дорофеев П.Г.</t>
        </is>
      </c>
      <c r="B87" s="8">
        <f>#REF!*30</f>
        <v/>
      </c>
      <c r="C87" s="6" t="n">
        <v>15000</v>
      </c>
      <c r="D87" s="6" t="n">
        <v>27579</v>
      </c>
      <c r="E87" s="7" t="n"/>
      <c r="F87" s="5">
        <f>B87-C87-D87-E87</f>
        <v/>
      </c>
      <c r="G87" s="8" t="n"/>
      <c r="H87" s="6">
        <f>D100+D88+D108+D103+D95+D104+D105+D101+D102+D106</f>
        <v/>
      </c>
      <c r="I87" s="6">
        <f>D107+D99+D92+D96+D89+D87+D98+D94+D83+D110+D86+D85+D91+D84+D97+D109+D114+D93</f>
        <v/>
      </c>
      <c r="J87" s="6">
        <f>SUM(H87:I87)</f>
        <v/>
      </c>
      <c r="K87" s="6" t="n"/>
      <c r="L87" s="7" t="n"/>
      <c r="M87" s="140" t="n"/>
    </row>
    <row r="88" ht="15.75" customHeight="1" s="145">
      <c r="A88" s="5" t="inlineStr">
        <is>
          <t>Зайцев М.Е</t>
        </is>
      </c>
      <c r="B88" s="8">
        <f>#REF!*30</f>
        <v/>
      </c>
      <c r="C88" s="6" t="n">
        <v>20000</v>
      </c>
      <c r="D88" s="6" t="n">
        <v>24360</v>
      </c>
      <c r="E88" s="7">
        <f>#REF!*30</f>
        <v/>
      </c>
      <c r="F88" s="5">
        <f>B88-C88-D88-E88</f>
        <v/>
      </c>
      <c r="G88" s="8" t="n"/>
      <c r="H88" s="6" t="n"/>
      <c r="I88" s="6" t="n"/>
      <c r="J88" s="6" t="n"/>
      <c r="K88" s="6" t="n"/>
      <c r="L88" s="7" t="n"/>
      <c r="M88" s="140" t="n"/>
    </row>
    <row r="89" ht="15.75" customHeight="1" s="145">
      <c r="A89" s="5" t="inlineStr">
        <is>
          <t>Власишен В.С.</t>
        </is>
      </c>
      <c r="B89" s="8">
        <f>#REF!*30</f>
        <v/>
      </c>
      <c r="C89" s="6" t="n">
        <v>10000</v>
      </c>
      <c r="D89" s="6" t="n">
        <v>24969</v>
      </c>
      <c r="E89" s="7" t="n"/>
      <c r="F89" s="5">
        <f>B89-C89-D89-E89</f>
        <v/>
      </c>
      <c r="G89" s="8" t="n"/>
      <c r="H89" s="6" t="n"/>
      <c r="I89" s="6" t="n"/>
      <c r="J89" s="6" t="n"/>
      <c r="K89" s="6" t="n"/>
      <c r="L89" s="7" t="n"/>
      <c r="M89" s="140" t="n"/>
    </row>
    <row r="90" ht="15.75" customHeight="1" s="145">
      <c r="A90" s="5" t="inlineStr">
        <is>
          <t>Кашеваров А.И.</t>
        </is>
      </c>
      <c r="B90" s="8">
        <f>#REF!*30</f>
        <v/>
      </c>
      <c r="C90" s="6" t="n">
        <v>25000</v>
      </c>
      <c r="D90" s="6" t="n"/>
      <c r="E90" s="7" t="n"/>
      <c r="F90" s="5">
        <f>B90-C90-D90-E90</f>
        <v/>
      </c>
      <c r="G90" s="8" t="n"/>
      <c r="H90" s="6" t="n"/>
      <c r="I90" s="6" t="n"/>
      <c r="J90" s="6" t="n"/>
      <c r="K90" s="6" t="n"/>
      <c r="L90" s="7" t="n"/>
      <c r="M90" s="140" t="n"/>
    </row>
    <row r="91" ht="15.75" customHeight="1" s="145">
      <c r="A91" s="5" t="inlineStr">
        <is>
          <t>Рыбалка Е.</t>
        </is>
      </c>
      <c r="B91" s="8">
        <f>#REF!*30</f>
        <v/>
      </c>
      <c r="C91" s="6" t="n"/>
      <c r="D91" s="6" t="n">
        <v>5203.24</v>
      </c>
      <c r="E91" s="7" t="n"/>
      <c r="F91" s="5">
        <f>B91-C91-D91-E91</f>
        <v/>
      </c>
      <c r="G91" s="8" t="n"/>
      <c r="H91" s="6" t="n"/>
      <c r="I91" s="6" t="n"/>
      <c r="J91" s="6" t="n"/>
      <c r="K91" s="6" t="n"/>
      <c r="L91" s="7" t="n"/>
      <c r="M91" s="140" t="n"/>
    </row>
    <row r="92" ht="15.75" customHeight="1" s="145">
      <c r="A92" s="5" t="inlineStr">
        <is>
          <t>Бобылева И.В.</t>
        </is>
      </c>
      <c r="B92" s="8">
        <f>#REF!*30</f>
        <v/>
      </c>
      <c r="C92" s="6" t="n">
        <v>15000</v>
      </c>
      <c r="D92" s="6" t="n">
        <v>23490</v>
      </c>
      <c r="E92" s="7" t="n"/>
      <c r="F92" s="5">
        <f>B92-C92-D92-E92</f>
        <v/>
      </c>
      <c r="G92" s="8" t="n"/>
      <c r="H92" s="6" t="n"/>
      <c r="I92" s="6" t="n"/>
      <c r="J92" s="6" t="n"/>
      <c r="K92" s="6" t="n"/>
      <c r="L92" s="7" t="n"/>
      <c r="M92" s="140" t="n"/>
    </row>
    <row r="93" ht="15.75" customHeight="1" s="145">
      <c r="A93" s="5" t="inlineStr">
        <is>
          <t>Яковлев А.Р.</t>
        </is>
      </c>
      <c r="B93" s="8">
        <f>#REF!*30</f>
        <v/>
      </c>
      <c r="C93" s="6" t="n">
        <v>20000</v>
      </c>
      <c r="D93" s="6" t="n">
        <v>30153.69</v>
      </c>
      <c r="E93" s="7" t="n"/>
      <c r="F93" s="5">
        <f>B93-C93-D93-E93</f>
        <v/>
      </c>
      <c r="G93" s="8" t="n"/>
      <c r="H93" s="6" t="n"/>
      <c r="I93" s="6" t="n"/>
      <c r="J93" s="6" t="n"/>
      <c r="K93" s="6" t="n"/>
      <c r="L93" s="7" t="n"/>
      <c r="M93" s="140" t="n"/>
    </row>
    <row r="94" ht="15.75" customHeight="1" s="145">
      <c r="A94" s="5" t="inlineStr">
        <is>
          <t>Иванов К.А.</t>
        </is>
      </c>
      <c r="B94" s="8">
        <f>#REF!*30</f>
        <v/>
      </c>
      <c r="C94" s="6" t="n">
        <v>25000</v>
      </c>
      <c r="D94" s="6" t="n">
        <v>30450</v>
      </c>
      <c r="E94" s="7" t="n"/>
      <c r="F94" s="5">
        <f>B94-C94-D94-E94</f>
        <v/>
      </c>
      <c r="G94" s="8" t="n"/>
      <c r="H94" s="6" t="n"/>
      <c r="I94" s="6" t="n"/>
      <c r="J94" s="6" t="n"/>
      <c r="K94" s="6" t="n"/>
      <c r="L94" s="7" t="n"/>
      <c r="M94" s="140" t="n"/>
    </row>
    <row r="95" ht="15.75" customHeight="1" s="145">
      <c r="A95" s="5" t="inlineStr">
        <is>
          <t>Лунин С.В./СЛ</t>
        </is>
      </c>
      <c r="B95" s="8">
        <f>#REF!*30</f>
        <v/>
      </c>
      <c r="C95" s="6" t="n">
        <v>25000</v>
      </c>
      <c r="D95" s="6" t="n">
        <v>26891</v>
      </c>
      <c r="E95" s="7" t="n"/>
      <c r="F95" s="5">
        <f>B95-C95-D95-E95</f>
        <v/>
      </c>
      <c r="G95" s="8" t="n"/>
      <c r="H95" s="6" t="n"/>
      <c r="I95" s="6" t="n"/>
      <c r="J95" s="6" t="n"/>
      <c r="K95" s="6" t="n"/>
      <c r="L95" s="7" t="n"/>
      <c r="M95" s="140" t="n"/>
    </row>
    <row r="96" ht="15.75" customHeight="1" s="145">
      <c r="A96" s="5" t="inlineStr">
        <is>
          <t>Викулина Н.А.</t>
        </is>
      </c>
      <c r="B96" s="8">
        <f>#REF!*30</f>
        <v/>
      </c>
      <c r="C96" s="6" t="n">
        <v>20000</v>
      </c>
      <c r="D96" s="6" t="n">
        <v>20010</v>
      </c>
      <c r="E96" s="7" t="n"/>
      <c r="F96" s="5">
        <f>B96-C96-D96-E96</f>
        <v/>
      </c>
      <c r="G96" s="8" t="n"/>
      <c r="H96" s="6" t="n"/>
      <c r="I96" s="6" t="n"/>
      <c r="J96" s="6" t="n"/>
      <c r="K96" s="6" t="n"/>
      <c r="L96" s="7" t="n"/>
      <c r="M96" s="140" t="n"/>
    </row>
    <row r="97" ht="15.75" customHeight="1" s="145">
      <c r="A97" s="5" t="inlineStr">
        <is>
          <t>Стржелинский О.</t>
        </is>
      </c>
      <c r="B97" s="8">
        <f>#REF!*30</f>
        <v/>
      </c>
      <c r="C97" s="6" t="n">
        <v>25000</v>
      </c>
      <c r="D97" s="6" t="n">
        <v>34597</v>
      </c>
      <c r="E97" s="7" t="n"/>
      <c r="F97" s="5">
        <f>B97-C97-D97-E97</f>
        <v/>
      </c>
      <c r="G97" s="8" t="n"/>
      <c r="H97" s="6" t="n"/>
      <c r="I97" s="6" t="n"/>
      <c r="J97" s="6" t="n"/>
      <c r="K97" s="6" t="n"/>
      <c r="L97" s="7" t="n"/>
      <c r="M97" s="140" t="n"/>
    </row>
    <row r="98" ht="15.75" customHeight="1" s="145">
      <c r="A98" s="5" t="inlineStr">
        <is>
          <t>Жидков И.А.</t>
        </is>
      </c>
      <c r="B98" s="8">
        <f>#REF!*30</f>
        <v/>
      </c>
      <c r="C98" s="6" t="n">
        <v>25000</v>
      </c>
      <c r="D98" s="6" t="n">
        <v>19575</v>
      </c>
      <c r="E98" s="7" t="n"/>
      <c r="F98" s="5">
        <f>B98-C98-D98-E98</f>
        <v/>
      </c>
      <c r="G98" s="8" t="n"/>
      <c r="H98" s="6" t="n"/>
      <c r="I98" s="6" t="n"/>
      <c r="J98" s="6" t="n"/>
      <c r="K98" s="6" t="n"/>
      <c r="L98" s="7" t="n"/>
      <c r="M98" s="140" t="n"/>
    </row>
    <row r="99" ht="15.75" customHeight="1" s="145">
      <c r="A99" s="5" t="inlineStr">
        <is>
          <t>Баринов Е.В.</t>
        </is>
      </c>
      <c r="B99" s="8">
        <f>#REF!*30</f>
        <v/>
      </c>
      <c r="C99" s="6" t="n">
        <v>15000</v>
      </c>
      <c r="D99" s="6" t="n">
        <v>12459.05</v>
      </c>
      <c r="E99" s="7" t="n"/>
      <c r="F99" s="5">
        <f>B99-C99-D99-E99</f>
        <v/>
      </c>
      <c r="G99" s="8" t="n"/>
      <c r="H99" s="6" t="n"/>
      <c r="I99" s="6" t="n"/>
      <c r="J99" s="6" t="n"/>
      <c r="K99" s="6" t="n"/>
      <c r="L99" s="7" t="n"/>
      <c r="M99" s="140" t="n"/>
    </row>
    <row r="100" ht="15.75" customHeight="1" s="145">
      <c r="A100" s="5" t="inlineStr">
        <is>
          <t>Загребин И.</t>
        </is>
      </c>
      <c r="B100" s="8">
        <f>#REF!*30</f>
        <v/>
      </c>
      <c r="C100" s="6" t="n">
        <v>20000</v>
      </c>
      <c r="D100" s="6" t="n">
        <v>18705</v>
      </c>
      <c r="E100" s="7" t="n"/>
      <c r="F100" s="5">
        <f>B100-C100-D100-E100</f>
        <v/>
      </c>
      <c r="G100" s="8" t="n"/>
      <c r="H100" s="6" t="n"/>
      <c r="I100" s="6" t="n"/>
      <c r="J100" s="6" t="n"/>
      <c r="K100" s="6" t="n"/>
      <c r="L100" s="7" t="n"/>
      <c r="M100" s="140" t="n"/>
    </row>
    <row r="101" ht="15.75" customHeight="1" s="145">
      <c r="A101" s="5" t="inlineStr">
        <is>
          <t>Скрипник А.А.</t>
        </is>
      </c>
      <c r="B101" s="8">
        <f>#REF!*30</f>
        <v/>
      </c>
      <c r="C101" s="6" t="n">
        <v>25000</v>
      </c>
      <c r="D101" s="6" t="n">
        <v>40381.26</v>
      </c>
      <c r="E101" s="7" t="n"/>
      <c r="F101" s="5">
        <f>B101-C101-D101-E101</f>
        <v/>
      </c>
      <c r="G101" s="8" t="n"/>
      <c r="H101" s="6" t="n"/>
      <c r="I101" s="6" t="n"/>
      <c r="J101" s="6" t="n"/>
      <c r="K101" s="6" t="n"/>
      <c r="L101" s="7" t="n"/>
      <c r="M101" s="140" t="n"/>
    </row>
    <row r="102" ht="15.75" customHeight="1" s="145">
      <c r="A102" s="5" t="inlineStr">
        <is>
          <t>Стифутин А.С.</t>
        </is>
      </c>
      <c r="B102" s="8">
        <f>#REF!*30</f>
        <v/>
      </c>
      <c r="C102" s="6" t="n">
        <v>25000</v>
      </c>
      <c r="D102" s="6" t="n">
        <v>44778</v>
      </c>
      <c r="E102" s="25">
        <f>#REF!</f>
        <v/>
      </c>
      <c r="F102" s="38">
        <f>B102-C102-D102-E102</f>
        <v/>
      </c>
      <c r="G102" s="8" t="n"/>
      <c r="H102" s="6" t="n"/>
      <c r="I102" s="6" t="n"/>
      <c r="J102" s="6" t="n"/>
      <c r="K102" s="6" t="n"/>
      <c r="L102" s="7" t="n"/>
      <c r="M102" s="140" t="n"/>
    </row>
    <row r="103" ht="15.75" customHeight="1" s="145">
      <c r="A103" s="5" t="inlineStr">
        <is>
          <t>Коростелёв О.Б.</t>
        </is>
      </c>
      <c r="B103" s="8">
        <f>#REF!*30</f>
        <v/>
      </c>
      <c r="C103" s="6" t="n">
        <v>15000</v>
      </c>
      <c r="D103" s="6" t="n">
        <v>33134.26</v>
      </c>
      <c r="E103" s="7" t="n"/>
      <c r="F103" s="5">
        <f>B103-C103-D103-E103</f>
        <v/>
      </c>
      <c r="G103" s="8" t="n"/>
      <c r="H103" s="6" t="n"/>
      <c r="I103" s="6" t="n"/>
      <c r="J103" s="6" t="n"/>
      <c r="K103" s="6" t="n"/>
      <c r="L103" s="7" t="n"/>
      <c r="M103" s="140" t="n"/>
    </row>
    <row r="104" ht="15.75" customHeight="1" s="145">
      <c r="A104" s="5" t="inlineStr">
        <is>
          <t>Мамонов А.М.</t>
        </is>
      </c>
      <c r="B104" s="8">
        <f>#REF!*30</f>
        <v/>
      </c>
      <c r="C104" s="6" t="n">
        <v>25000</v>
      </c>
      <c r="D104" s="6" t="n">
        <v>41755</v>
      </c>
      <c r="E104" s="7" t="n"/>
      <c r="F104" s="5">
        <f>B104-C104-D104-E104</f>
        <v/>
      </c>
      <c r="G104" s="8" t="n"/>
      <c r="H104" s="6" t="n"/>
      <c r="I104" s="6" t="n"/>
      <c r="J104" s="6" t="n"/>
      <c r="K104" s="6" t="n"/>
      <c r="L104" s="7" t="n"/>
      <c r="M104" s="140" t="n"/>
    </row>
    <row r="105" ht="15.75" customHeight="1" s="145">
      <c r="A105" s="5" t="inlineStr">
        <is>
          <t>Петров Д.С.</t>
        </is>
      </c>
      <c r="B105" s="8">
        <f>#REF!*30</f>
        <v/>
      </c>
      <c r="C105" s="6" t="n">
        <v>15000</v>
      </c>
      <c r="D105" s="6" t="n">
        <v>29145</v>
      </c>
      <c r="E105" s="7" t="n"/>
      <c r="F105" s="5">
        <f>B105-C105-D105-E105</f>
        <v/>
      </c>
      <c r="G105" s="8" t="n"/>
      <c r="H105" s="6" t="n"/>
      <c r="I105" s="6" t="n"/>
      <c r="J105" s="6" t="n"/>
      <c r="K105" s="6" t="n"/>
      <c r="L105" s="7" t="n"/>
      <c r="M105" s="140" t="n"/>
    </row>
    <row r="106" ht="15.75" customHeight="1" s="145">
      <c r="A106" s="5" t="inlineStr">
        <is>
          <t>Фельдман В.П.</t>
        </is>
      </c>
      <c r="B106" s="8">
        <f>#REF!*30</f>
        <v/>
      </c>
      <c r="C106" s="6" t="n">
        <v>25000</v>
      </c>
      <c r="D106" s="6" t="n">
        <v>30885</v>
      </c>
      <c r="E106" s="7" t="n"/>
      <c r="F106" s="5">
        <f>B106-C106-D106-E106</f>
        <v/>
      </c>
      <c r="G106" s="8" t="n"/>
      <c r="H106" s="6" t="n"/>
      <c r="I106" s="6" t="n"/>
      <c r="J106" s="6" t="n"/>
      <c r="K106" s="6" t="n"/>
      <c r="L106" s="7" t="n"/>
      <c r="M106" s="140" t="n"/>
    </row>
    <row r="107" ht="15.75" customHeight="1" s="145">
      <c r="A107" s="5" t="inlineStr">
        <is>
          <t>Афонин М.М.</t>
        </is>
      </c>
      <c r="B107" s="8">
        <f>#REF!*30</f>
        <v/>
      </c>
      <c r="C107" s="6" t="n">
        <v>15000</v>
      </c>
      <c r="D107" s="6" t="n">
        <v>21750</v>
      </c>
      <c r="E107" s="7" t="n"/>
      <c r="F107" s="5">
        <f>B107-C107-D107-E107</f>
        <v/>
      </c>
      <c r="G107" s="8">
        <f>SUM(B82:B114)</f>
        <v/>
      </c>
      <c r="H107" s="6">
        <f>SUM(C82:C114)</f>
        <v/>
      </c>
      <c r="I107" s="6">
        <f>SUM(D82:D114)</f>
        <v/>
      </c>
      <c r="J107" s="6" t="n"/>
      <c r="K107" s="6">
        <f>SUM(F82:F114)</f>
        <v/>
      </c>
      <c r="L107" s="7">
        <f>G107-H107-I107-J107</f>
        <v/>
      </c>
      <c r="M107" s="140" t="n"/>
    </row>
    <row r="108" ht="15.75" customHeight="1" s="145">
      <c r="A108" s="5" t="inlineStr">
        <is>
          <t>Капустян Д.С.</t>
        </is>
      </c>
      <c r="B108" s="8">
        <f>#REF!*30</f>
        <v/>
      </c>
      <c r="C108" s="6" t="n">
        <v>25000</v>
      </c>
      <c r="D108" s="6" t="n">
        <v>30015</v>
      </c>
      <c r="E108" s="25">
        <f>#REF!</f>
        <v/>
      </c>
      <c r="F108" s="5">
        <f>B108-C108-D108-E108</f>
        <v/>
      </c>
      <c r="G108" s="8">
        <f>G107/30</f>
        <v/>
      </c>
      <c r="H108" s="6">
        <f>H107/30</f>
        <v/>
      </c>
      <c r="I108" s="6">
        <f>I107/30</f>
        <v/>
      </c>
      <c r="J108" s="6" t="n"/>
      <c r="K108" s="6">
        <f>K107/30</f>
        <v/>
      </c>
      <c r="L108" s="7">
        <f>G108-H108-I108-J108</f>
        <v/>
      </c>
      <c r="M108" s="140" t="n"/>
    </row>
    <row r="109" ht="15.75" customHeight="1" s="145">
      <c r="A109" s="5" t="inlineStr">
        <is>
          <t>Суровцев А.М.</t>
        </is>
      </c>
      <c r="B109" s="8">
        <f>#REF!*30</f>
        <v/>
      </c>
      <c r="C109" s="6" t="n">
        <v>20000</v>
      </c>
      <c r="D109" s="6" t="n">
        <v>24360</v>
      </c>
      <c r="E109" s="7" t="n"/>
      <c r="F109" s="5">
        <f>B109-C109-D109-E109</f>
        <v/>
      </c>
      <c r="G109" s="8" t="n"/>
      <c r="H109" s="6" t="n"/>
      <c r="I109" s="6" t="n"/>
      <c r="J109" s="6" t="n"/>
      <c r="K109" s="6" t="n"/>
      <c r="L109" s="7" t="n"/>
      <c r="M109" s="140" t="n"/>
    </row>
    <row r="110" ht="15.75" customHeight="1" s="145">
      <c r="A110" s="10" t="inlineStr">
        <is>
          <t>Лазарев</t>
        </is>
      </c>
      <c r="B110" s="36">
        <f>#REF!*30</f>
        <v/>
      </c>
      <c r="C110" s="9" t="n">
        <v>15000</v>
      </c>
      <c r="D110" s="9" t="n">
        <v>22893.46</v>
      </c>
      <c r="E110" s="27" t="n"/>
      <c r="F110" s="5">
        <f>B110-C110-D110-E110</f>
        <v/>
      </c>
      <c r="G110" s="36" t="n"/>
      <c r="H110" s="9" t="n"/>
      <c r="I110" s="9" t="n"/>
      <c r="J110" s="9" t="n"/>
      <c r="K110" s="9" t="n"/>
      <c r="L110" s="27" t="n"/>
      <c r="M110" s="140" t="n"/>
    </row>
    <row r="111" ht="15.75" customHeight="1" s="145">
      <c r="A111" s="10" t="inlineStr">
        <is>
          <t>Адаменко</t>
        </is>
      </c>
      <c r="B111" s="36" t="n"/>
      <c r="C111" s="9" t="n"/>
      <c r="D111" s="9" t="n"/>
      <c r="E111" s="27" t="n"/>
      <c r="F111" s="5">
        <f>B111-C111-D111-E111</f>
        <v/>
      </c>
      <c r="G111" s="36" t="n"/>
      <c r="H111" s="9" t="n"/>
      <c r="I111" s="9" t="n"/>
      <c r="J111" s="9" t="n"/>
      <c r="K111" s="9" t="n"/>
      <c r="L111" s="27" t="n"/>
      <c r="M111" s="140" t="n"/>
    </row>
    <row r="112" ht="15.75" customHeight="1" s="145">
      <c r="A112" s="10" t="inlineStr">
        <is>
          <t>Дубинин А.Ф.</t>
        </is>
      </c>
      <c r="B112" s="36">
        <f>#REF!*30</f>
        <v/>
      </c>
      <c r="C112" s="9" t="n">
        <v>30000</v>
      </c>
      <c r="D112" s="9" t="n"/>
      <c r="E112" s="27" t="n"/>
      <c r="F112" s="5" t="n"/>
      <c r="G112" s="36" t="n"/>
      <c r="H112" s="9" t="n"/>
      <c r="I112" s="9" t="n"/>
      <c r="J112" s="9" t="n"/>
      <c r="K112" s="9" t="n"/>
      <c r="L112" s="27" t="n"/>
      <c r="M112" s="140" t="n"/>
    </row>
    <row r="113" ht="15.75" customHeight="1" s="145">
      <c r="A113" s="10" t="inlineStr">
        <is>
          <t>Пак В.В.</t>
        </is>
      </c>
      <c r="B113" s="36">
        <f>#REF!*30</f>
        <v/>
      </c>
      <c r="C113" s="9" t="n"/>
      <c r="D113" s="9" t="n"/>
      <c r="E113" s="27" t="n"/>
      <c r="F113" s="5">
        <f>B113-C113-D113-E113</f>
        <v/>
      </c>
      <c r="G113" s="36" t="n"/>
      <c r="H113" s="9" t="n"/>
      <c r="I113" s="9" t="n"/>
      <c r="J113" s="9" t="n"/>
      <c r="K113" s="9" t="n"/>
      <c r="L113" s="27" t="n"/>
      <c r="M113" s="140" t="n"/>
    </row>
    <row r="114" ht="15.75" customHeight="1" s="145">
      <c r="A114" s="10" t="inlineStr">
        <is>
          <t>Шаренда Е.</t>
        </is>
      </c>
      <c r="B114" s="36">
        <f>#REF!*30</f>
        <v/>
      </c>
      <c r="C114" s="9" t="n">
        <v>15000</v>
      </c>
      <c r="D114" s="9" t="n">
        <v>21750</v>
      </c>
      <c r="E114" s="27" t="n"/>
      <c r="F114" s="10">
        <f>B114-C114-D114-E114</f>
        <v/>
      </c>
      <c r="G114" s="36" t="n"/>
      <c r="H114" s="9" t="n"/>
      <c r="I114" s="9" t="n"/>
      <c r="J114" s="9" t="n"/>
      <c r="K114" s="9" t="n"/>
      <c r="L114" s="27" t="n"/>
      <c r="M114" s="140" t="n"/>
    </row>
    <row r="115" ht="15.75" customHeight="1" s="145">
      <c r="A115" s="17" t="n"/>
      <c r="B115" s="19" t="n"/>
      <c r="C115" s="19" t="n"/>
      <c r="D115" s="19" t="n"/>
      <c r="E115" s="19" t="n"/>
      <c r="F115" s="19" t="n"/>
      <c r="G115" s="19" t="n"/>
      <c r="H115" s="19" t="n"/>
      <c r="I115" s="37" t="n"/>
      <c r="J115" s="19" t="n"/>
      <c r="K115" s="19" t="n"/>
      <c r="L115" s="19" t="n"/>
      <c r="M115" s="18" t="n"/>
    </row>
    <row r="116" ht="15.75" customHeight="1" s="145">
      <c r="A116" s="143" t="inlineStr">
        <is>
          <t>июнь</t>
        </is>
      </c>
      <c r="B116" s="144" t="n"/>
      <c r="C116" s="144" t="n"/>
      <c r="D116" s="144" t="n"/>
      <c r="E116" s="144" t="n"/>
      <c r="F116" s="144" t="n"/>
      <c r="G116" s="144" t="n"/>
      <c r="H116" s="144" t="n"/>
      <c r="I116" s="144" t="n"/>
      <c r="J116" s="144" t="n"/>
      <c r="K116" s="144" t="n"/>
      <c r="L116" s="144" t="n"/>
      <c r="M116" s="144" t="n"/>
    </row>
    <row r="117" ht="15.75" customHeight="1" s="145"/>
    <row r="118" ht="15.75" customHeight="1" s="145">
      <c r="A118" s="1" t="inlineStr">
        <is>
          <t>ФИО</t>
        </is>
      </c>
      <c r="B118" s="1" t="inlineStr">
        <is>
          <t>Итого</t>
        </is>
      </c>
      <c r="C118" s="1" t="inlineStr">
        <is>
          <t>аванс</t>
        </is>
      </c>
      <c r="D118" s="18" t="inlineStr">
        <is>
          <t>карта</t>
        </is>
      </c>
      <c r="E118" s="1" t="inlineStr">
        <is>
          <t>кредит</t>
        </is>
      </c>
      <c r="F118" s="19" t="inlineStr">
        <is>
          <t>долг</t>
        </is>
      </c>
      <c r="G118" s="1" t="inlineStr">
        <is>
          <t>к выд</t>
        </is>
      </c>
    </row>
    <row r="119" ht="15.75" customHeight="1" s="145">
      <c r="A119" s="2" t="inlineStr">
        <is>
          <t>Попов А.Н.</t>
        </is>
      </c>
      <c r="B119" s="2" t="n">
        <v>113430</v>
      </c>
      <c r="C119" s="2" t="n">
        <v>0</v>
      </c>
      <c r="D119" s="20" t="n">
        <v>0</v>
      </c>
      <c r="E119" s="4" t="n"/>
      <c r="F119" s="21" t="n">
        <v>0</v>
      </c>
      <c r="G119" s="2" t="n">
        <v>113430</v>
      </c>
    </row>
    <row r="120" ht="15.75" customHeight="1" s="145">
      <c r="A120" s="5" t="inlineStr">
        <is>
          <t>Кокорев А.В.</t>
        </is>
      </c>
      <c r="B120" s="5" t="n">
        <v>128820</v>
      </c>
      <c r="C120" s="5" t="n">
        <v>30000</v>
      </c>
      <c r="D120" s="22" t="n">
        <v>39882</v>
      </c>
      <c r="E120" s="7" t="n"/>
      <c r="F120" s="23" t="n">
        <v>0</v>
      </c>
      <c r="G120" s="5" t="n">
        <v>58938</v>
      </c>
    </row>
    <row r="121" ht="15.75" customHeight="1" s="145">
      <c r="A121" s="5" t="inlineStr">
        <is>
          <t>Сёмин А.А.</t>
        </is>
      </c>
      <c r="B121" s="5" t="n">
        <v>113460</v>
      </c>
      <c r="C121" s="5" t="n">
        <v>25000</v>
      </c>
      <c r="D121" s="22" t="n">
        <v>24360</v>
      </c>
      <c r="E121" s="7" t="n"/>
      <c r="F121" s="23" t="n">
        <v>0</v>
      </c>
      <c r="G121" s="5" t="n">
        <v>64100</v>
      </c>
    </row>
    <row r="122" ht="15.75" customHeight="1" s="145">
      <c r="A122" s="5" t="inlineStr">
        <is>
          <t>Милосердов Д.В.</t>
        </is>
      </c>
      <c r="B122" s="5" t="n">
        <v>55500</v>
      </c>
      <c r="C122" s="5" t="n">
        <v>0</v>
      </c>
      <c r="D122" s="22" t="n">
        <v>33539</v>
      </c>
      <c r="E122" s="7" t="n"/>
      <c r="F122" s="7" t="n"/>
      <c r="G122" s="5" t="n">
        <v>21961</v>
      </c>
    </row>
    <row r="123" ht="15.75" customHeight="1" s="145">
      <c r="A123" s="5" t="inlineStr">
        <is>
          <t>Линшиц М.В.</t>
        </is>
      </c>
      <c r="B123" s="5" t="n">
        <v>57000</v>
      </c>
      <c r="C123" s="5" t="n">
        <v>20000</v>
      </c>
      <c r="D123" s="22" t="n">
        <v>22620</v>
      </c>
      <c r="E123" s="7" t="n"/>
      <c r="F123" s="7" t="n"/>
      <c r="G123" s="5" t="n">
        <v>14380</v>
      </c>
    </row>
    <row r="124" ht="15.75" customHeight="1" s="145">
      <c r="A124" s="5" t="inlineStr">
        <is>
          <t>Дорофеев П.Г.</t>
        </is>
      </c>
      <c r="B124" s="5" t="n">
        <v>69570.89999999999</v>
      </c>
      <c r="C124" s="5" t="n">
        <v>15000</v>
      </c>
      <c r="D124" s="22" t="n">
        <v>26760.43</v>
      </c>
      <c r="E124" s="7" t="n"/>
      <c r="F124" s="7" t="n"/>
      <c r="G124" s="5" t="n">
        <v>27810.46999999999</v>
      </c>
    </row>
    <row r="125" ht="15.75" customHeight="1" s="145">
      <c r="A125" s="5" t="inlineStr">
        <is>
          <t>Зайцев М.Е</t>
        </is>
      </c>
      <c r="B125" s="5" t="n">
        <v>51000</v>
      </c>
      <c r="C125" s="5" t="n">
        <v>20000</v>
      </c>
      <c r="D125" s="22" t="n">
        <v>24716.08</v>
      </c>
      <c r="E125" s="7" t="n"/>
      <c r="F125" s="7" t="n">
        <v>6283.8</v>
      </c>
      <c r="G125" s="5" t="n">
        <v>0.1199999999980719</v>
      </c>
    </row>
    <row r="126" ht="15.75" customHeight="1" s="145">
      <c r="A126" s="5" t="inlineStr">
        <is>
          <t>Власишен В.С.</t>
        </is>
      </c>
      <c r="B126" s="5" t="n">
        <v>51912</v>
      </c>
      <c r="C126" s="5" t="n">
        <v>10000</v>
      </c>
      <c r="D126" s="22" t="n">
        <v>25686.6</v>
      </c>
      <c r="E126" s="7" t="n"/>
      <c r="F126" s="7" t="n"/>
      <c r="G126" s="5" t="n">
        <v>16225.4</v>
      </c>
    </row>
    <row r="127" ht="15.75" customHeight="1" s="145">
      <c r="A127" s="5" t="inlineStr">
        <is>
          <t>Кашеваров А.И.</t>
        </is>
      </c>
      <c r="B127" s="5" t="n">
        <v>66000</v>
      </c>
      <c r="C127" s="5" t="n">
        <v>25000</v>
      </c>
      <c r="D127" s="22" t="n">
        <v>0</v>
      </c>
      <c r="E127" s="7" t="n"/>
      <c r="F127" s="7" t="n"/>
      <c r="G127" s="5" t="n">
        <v>41000</v>
      </c>
    </row>
    <row r="128" ht="15.75" customHeight="1" s="145">
      <c r="A128" s="5" t="inlineStr">
        <is>
          <t>Рыбалка Е.</t>
        </is>
      </c>
      <c r="B128" s="5" t="n">
        <v>11130</v>
      </c>
      <c r="C128" s="5" t="n">
        <v>0</v>
      </c>
      <c r="D128" s="22" t="n">
        <v>5203.24</v>
      </c>
      <c r="E128" s="7" t="n"/>
      <c r="F128" s="7" t="n"/>
      <c r="G128" s="5" t="n">
        <v>5926.76</v>
      </c>
    </row>
    <row r="129" ht="15.75" customHeight="1" s="145">
      <c r="A129" s="5" t="inlineStr">
        <is>
          <t>Бобылева И.В.</t>
        </is>
      </c>
      <c r="B129" s="5" t="n">
        <v>42000</v>
      </c>
      <c r="C129" s="5" t="n">
        <v>15000</v>
      </c>
      <c r="D129" s="22" t="n">
        <v>23490</v>
      </c>
      <c r="E129" s="7" t="n"/>
      <c r="F129" s="7" t="n"/>
      <c r="G129" s="5" t="n">
        <v>3510</v>
      </c>
    </row>
    <row r="130" ht="15.75" customHeight="1" s="145">
      <c r="A130" s="5" t="inlineStr">
        <is>
          <t>Яковлев А.Р.</t>
        </is>
      </c>
      <c r="B130" s="5" t="n">
        <v>76500</v>
      </c>
      <c r="C130" s="5" t="n">
        <v>20000</v>
      </c>
      <c r="D130" s="22" t="n">
        <v>32611.11</v>
      </c>
      <c r="E130" s="7" t="n"/>
      <c r="F130" s="7" t="n"/>
      <c r="G130" s="5" t="n">
        <v>23888.89</v>
      </c>
    </row>
    <row r="131" ht="15.75" customHeight="1" s="145">
      <c r="A131" s="5" t="inlineStr">
        <is>
          <t>Иванов К.А.</t>
        </is>
      </c>
      <c r="B131" s="5" t="n">
        <v>57600</v>
      </c>
      <c r="C131" s="5" t="n">
        <v>25000</v>
      </c>
      <c r="D131" s="22" t="n">
        <v>30450</v>
      </c>
      <c r="E131" s="7" t="n"/>
      <c r="F131" s="7" t="n"/>
      <c r="G131" s="5" t="n">
        <v>2150</v>
      </c>
    </row>
    <row r="132" ht="15.75" customHeight="1" s="145">
      <c r="A132" s="5" t="inlineStr">
        <is>
          <t>Лунин С.В./СЛ</t>
        </is>
      </c>
      <c r="B132" s="5" t="n">
        <v>74850</v>
      </c>
      <c r="C132" s="5" t="n">
        <v>25000</v>
      </c>
      <c r="D132" s="22" t="n">
        <v>28060.48</v>
      </c>
      <c r="E132" s="7" t="n"/>
      <c r="F132" s="7" t="n"/>
      <c r="G132" s="5" t="n">
        <v>21789.52</v>
      </c>
    </row>
    <row r="133" ht="15.75" customHeight="1" s="145">
      <c r="A133" s="5" t="inlineStr">
        <is>
          <t>Викулина Н.А.</t>
        </is>
      </c>
      <c r="B133" s="5" t="n">
        <v>55050</v>
      </c>
      <c r="C133" s="5" t="n">
        <v>20000</v>
      </c>
      <c r="D133" s="22" t="n">
        <v>20896.42</v>
      </c>
      <c r="E133" s="7" t="n"/>
      <c r="F133" s="7" t="n"/>
      <c r="G133" s="5" t="n">
        <v>14153.58</v>
      </c>
    </row>
    <row r="134" ht="15.75" customHeight="1" s="145">
      <c r="A134" s="5" t="inlineStr">
        <is>
          <t>Стржелинский О.</t>
        </is>
      </c>
      <c r="B134" s="5" t="n">
        <v>72000</v>
      </c>
      <c r="C134" s="5" t="n">
        <v>25000</v>
      </c>
      <c r="D134" s="22" t="n">
        <v>35052.16</v>
      </c>
      <c r="E134" s="7" t="n"/>
      <c r="F134" s="7" t="n"/>
      <c r="G134" s="5" t="n">
        <v>11947.84</v>
      </c>
    </row>
    <row r="135" ht="15.75" customHeight="1" s="145">
      <c r="A135" s="5" t="inlineStr">
        <is>
          <t>Жидков И.А.</t>
        </is>
      </c>
      <c r="B135" s="5" t="n">
        <v>70500</v>
      </c>
      <c r="C135" s="5" t="n">
        <v>25000</v>
      </c>
      <c r="D135" s="22" t="n">
        <v>18711.4</v>
      </c>
      <c r="E135" s="7" t="n"/>
      <c r="F135" s="7" t="n"/>
      <c r="G135" s="5" t="n">
        <v>26788.6</v>
      </c>
    </row>
    <row r="136" ht="15.75" customHeight="1" s="145">
      <c r="A136" s="5" t="inlineStr">
        <is>
          <t>Баринов Е.В.</t>
        </is>
      </c>
      <c r="B136" s="5" t="n">
        <v>48000</v>
      </c>
      <c r="C136" s="5" t="n">
        <v>15000</v>
      </c>
      <c r="D136" s="22" t="n">
        <v>15339.27</v>
      </c>
      <c r="E136" s="7" t="n"/>
      <c r="F136" s="7" t="n"/>
      <c r="G136" s="5" t="n">
        <v>17660.73</v>
      </c>
    </row>
    <row r="137" ht="15.75" customHeight="1" s="145">
      <c r="A137" s="5" t="inlineStr">
        <is>
          <t>Загребин И.</t>
        </is>
      </c>
      <c r="B137" s="5" t="n">
        <v>60750</v>
      </c>
      <c r="C137" s="5" t="n">
        <v>20000</v>
      </c>
      <c r="D137" s="22" t="n">
        <v>15957.11</v>
      </c>
      <c r="E137" s="7" t="n"/>
      <c r="F137" s="7" t="n"/>
      <c r="G137" s="5" t="n">
        <v>24792.89</v>
      </c>
    </row>
    <row r="138" ht="15.75" customHeight="1" s="145">
      <c r="A138" s="5" t="inlineStr">
        <is>
          <t>Скрипник А.А.</t>
        </is>
      </c>
      <c r="B138" s="5" t="n">
        <v>84000</v>
      </c>
      <c r="C138" s="5" t="n">
        <v>25000</v>
      </c>
      <c r="D138" s="22" t="n">
        <v>36105</v>
      </c>
      <c r="E138" s="7" t="n"/>
      <c r="F138" s="7" t="n"/>
      <c r="G138" s="5" t="n">
        <v>22895</v>
      </c>
    </row>
    <row r="139" ht="15.75" customHeight="1" s="145">
      <c r="A139" s="5" t="inlineStr">
        <is>
          <t>Стифутин А.С.</t>
        </is>
      </c>
      <c r="B139" s="5" t="n">
        <v>71100</v>
      </c>
      <c r="C139" s="5" t="n">
        <v>25000</v>
      </c>
      <c r="D139" s="22" t="n">
        <v>43859.56</v>
      </c>
      <c r="E139" s="7" t="n"/>
      <c r="F139" s="25" t="n">
        <v>3000</v>
      </c>
      <c r="G139" s="5" t="n">
        <v>-759.5599999999977</v>
      </c>
    </row>
    <row r="140" ht="15.75" customHeight="1" s="145">
      <c r="A140" s="5" t="inlineStr">
        <is>
          <t>Коростелёв О.Б.</t>
        </is>
      </c>
      <c r="B140" s="5" t="n">
        <v>52500</v>
      </c>
      <c r="C140" s="5" t="n">
        <v>15000</v>
      </c>
      <c r="D140" s="22" t="n">
        <v>32016</v>
      </c>
      <c r="E140" s="7" t="n"/>
      <c r="F140" s="7" t="n"/>
      <c r="G140" s="5" t="n">
        <v>5484</v>
      </c>
    </row>
    <row r="141" ht="15.75" customHeight="1" s="145">
      <c r="A141" s="5" t="inlineStr">
        <is>
          <t>Мамонов А.М.</t>
        </is>
      </c>
      <c r="B141" s="5" t="n">
        <v>96000</v>
      </c>
      <c r="C141" s="5" t="n">
        <v>25000</v>
      </c>
      <c r="D141" s="22" t="n">
        <v>42646</v>
      </c>
      <c r="E141" s="7" t="n"/>
      <c r="F141" s="7" t="n"/>
      <c r="G141" s="5" t="n">
        <v>28354</v>
      </c>
    </row>
    <row r="142" ht="15.75" customHeight="1" s="145">
      <c r="A142" s="5" t="inlineStr">
        <is>
          <t>Петров Д.С.</t>
        </is>
      </c>
      <c r="B142" s="5" t="n">
        <v>74250</v>
      </c>
      <c r="C142" s="5" t="n">
        <v>15000</v>
      </c>
      <c r="D142" s="22" t="n">
        <v>29810.28</v>
      </c>
      <c r="E142" s="7" t="n"/>
      <c r="F142" s="7" t="n"/>
      <c r="G142" s="5" t="n">
        <v>29439.72</v>
      </c>
    </row>
    <row r="143" ht="15.75" customHeight="1" s="145">
      <c r="A143" s="5" t="inlineStr">
        <is>
          <t>Фельдман В.П.</t>
        </is>
      </c>
      <c r="B143" s="5" t="n">
        <v>96000</v>
      </c>
      <c r="C143" s="5" t="n">
        <v>25000</v>
      </c>
      <c r="D143" s="22" t="n">
        <v>30885</v>
      </c>
      <c r="E143" s="7" t="n"/>
      <c r="F143" s="7" t="n"/>
      <c r="G143" s="5" t="n">
        <v>40115</v>
      </c>
    </row>
    <row r="144" ht="15.75" customHeight="1" s="145">
      <c r="A144" s="5" t="inlineStr">
        <is>
          <t>Афонин М.М.</t>
        </is>
      </c>
      <c r="B144" s="5" t="n">
        <v>15000</v>
      </c>
      <c r="C144" s="5" t="n">
        <v>0</v>
      </c>
      <c r="D144" s="22" t="n">
        <v>0</v>
      </c>
      <c r="E144" s="7" t="n"/>
      <c r="F144" s="7" t="n"/>
      <c r="G144" s="5" t="n">
        <v>15000</v>
      </c>
    </row>
    <row r="145" ht="15.75" customHeight="1" s="145">
      <c r="A145" s="5" t="inlineStr">
        <is>
          <t>Капустян Д.С.</t>
        </is>
      </c>
      <c r="B145" s="5" t="n">
        <v>63000</v>
      </c>
      <c r="C145" s="5" t="n">
        <v>25000</v>
      </c>
      <c r="D145" s="22" t="n">
        <v>29339.35</v>
      </c>
      <c r="E145" s="7" t="n"/>
      <c r="F145" s="25" t="n">
        <v>3000</v>
      </c>
      <c r="G145" s="5" t="n">
        <v>5660.650000000001</v>
      </c>
    </row>
    <row r="146" ht="15.75" customHeight="1" s="145">
      <c r="A146" s="5" t="inlineStr">
        <is>
          <t>Суровцев А.М.</t>
        </is>
      </c>
      <c r="B146" s="5" t="n">
        <v>66000</v>
      </c>
      <c r="C146" s="5" t="n">
        <v>20000</v>
      </c>
      <c r="D146" s="22" t="n">
        <v>25526.36</v>
      </c>
      <c r="E146" s="7" t="n"/>
      <c r="F146" s="7" t="n"/>
      <c r="G146" s="5" t="n">
        <v>20473.64</v>
      </c>
    </row>
    <row r="147" ht="15.75" customHeight="1" s="145">
      <c r="A147" s="10" t="inlineStr">
        <is>
          <t>Лазарев</t>
        </is>
      </c>
      <c r="B147" s="10" t="n">
        <v>58500</v>
      </c>
      <c r="C147" s="10" t="n">
        <v>15000</v>
      </c>
      <c r="D147" s="26" t="n">
        <v>23078.28</v>
      </c>
      <c r="E147" s="27" t="n"/>
      <c r="F147" s="27" t="n"/>
      <c r="G147" s="5" t="n">
        <v>20421.72</v>
      </c>
    </row>
    <row r="148" ht="15.75" customHeight="1" s="145">
      <c r="A148" s="10" t="inlineStr">
        <is>
          <t>Адаменко</t>
        </is>
      </c>
      <c r="B148" s="10" t="n"/>
      <c r="C148" s="10" t="n">
        <v>0</v>
      </c>
      <c r="D148" s="26" t="n">
        <v>0</v>
      </c>
      <c r="E148" s="27" t="n"/>
      <c r="F148" s="27" t="n"/>
      <c r="G148" s="5" t="n">
        <v>0</v>
      </c>
    </row>
    <row r="149" ht="15.75" customHeight="1" s="145">
      <c r="A149" s="10" t="inlineStr">
        <is>
          <t>Дубинин А.Ф.</t>
        </is>
      </c>
      <c r="B149" s="10" t="n">
        <v>54000</v>
      </c>
      <c r="C149" s="10" t="n">
        <v>30000</v>
      </c>
      <c r="D149" s="26" t="n">
        <v>0</v>
      </c>
      <c r="E149" s="27" t="n"/>
      <c r="F149" s="27" t="n"/>
      <c r="G149" s="5" t="n"/>
    </row>
    <row r="150" ht="15.75" customHeight="1" s="145">
      <c r="A150" s="10" t="inlineStr">
        <is>
          <t>Пак В.В.</t>
        </is>
      </c>
      <c r="B150" s="10" t="n">
        <v>55200</v>
      </c>
      <c r="C150" s="10" t="n">
        <v>0</v>
      </c>
      <c r="D150" s="26" t="n">
        <v>9570</v>
      </c>
      <c r="E150" s="27" t="n">
        <v>0</v>
      </c>
      <c r="F150" s="27" t="n">
        <v>0</v>
      </c>
      <c r="G150" s="5" t="n">
        <v>45630</v>
      </c>
    </row>
    <row r="151" ht="15.75" customHeight="1" s="145">
      <c r="A151" s="10" t="inlineStr">
        <is>
          <t>Соловьев В.М.</t>
        </is>
      </c>
      <c r="B151" s="10" t="n">
        <v>25500</v>
      </c>
      <c r="C151" s="10" t="n">
        <v>0</v>
      </c>
      <c r="D151" s="26" t="n">
        <v>0</v>
      </c>
      <c r="E151" s="27" t="n">
        <v>0</v>
      </c>
      <c r="F151" s="27" t="n">
        <v>0</v>
      </c>
      <c r="G151" s="5" t="n">
        <v>25500</v>
      </c>
    </row>
    <row r="152" ht="15.75" customHeight="1" s="145">
      <c r="A152" s="10" t="inlineStr">
        <is>
          <t>Шаренда Е.</t>
        </is>
      </c>
      <c r="B152" s="10" t="n">
        <v>52500</v>
      </c>
      <c r="C152" s="10" t="n">
        <v>15000</v>
      </c>
      <c r="D152" s="26" t="n">
        <v>21750</v>
      </c>
      <c r="E152" s="27" t="n"/>
      <c r="F152" s="27" t="n"/>
      <c r="G152" s="10" t="n">
        <v>15750</v>
      </c>
    </row>
    <row r="153" ht="15.75" customHeight="1" s="145">
      <c r="A153" s="11" t="inlineStr">
        <is>
          <t>Итого</t>
        </is>
      </c>
      <c r="B153" s="12" t="n">
        <v>2138622.9</v>
      </c>
      <c r="C153" s="12" t="n">
        <v>570000</v>
      </c>
      <c r="D153" s="13" t="n">
        <v>747921.1300000001</v>
      </c>
      <c r="E153" s="14" t="n">
        <v>0</v>
      </c>
      <c r="F153" s="15" t="n">
        <v>12283.8</v>
      </c>
      <c r="G153" s="12" t="n">
        <v>784417.97</v>
      </c>
    </row>
  </sheetData>
  <mergeCells count="5">
    <mergeCell ref="M82:M114"/>
    <mergeCell ref="A80:C80"/>
    <mergeCell ref="M5:M37"/>
    <mergeCell ref="M43:M75"/>
    <mergeCell ref="A116:M1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 codeName="Лист3">
    <outlinePr summaryBelow="1" summaryRight="1"/>
    <pageSetUpPr fitToPage="1"/>
  </sheetPr>
  <dimension ref="B1:O38"/>
  <sheetViews>
    <sheetView tabSelected="1" topLeftCell="E22" zoomScale="115" zoomScaleNormal="115" workbookViewId="0">
      <selection activeCell="G24" sqref="G23:J24"/>
    </sheetView>
  </sheetViews>
  <sheetFormatPr baseColWidth="8" defaultRowHeight="14.5"/>
  <cols>
    <col width="2.1796875" customWidth="1" style="145" min="1" max="1"/>
    <col width="14.453125" customWidth="1" style="145" min="2" max="2"/>
    <col width="8.7265625" customWidth="1" style="145" min="3" max="3"/>
    <col width="13.81640625" customWidth="1" style="145" min="4" max="4"/>
    <col width="9.26953125" customWidth="1" style="145" min="5" max="5"/>
    <col width="10.54296875" customWidth="1" style="145" min="6" max="6"/>
    <col width="50.26953125" customWidth="1" style="145" min="7" max="7"/>
    <col width="9.26953125" customWidth="1" style="145" min="8" max="8"/>
    <col width="8" customWidth="1" style="145" min="9" max="9"/>
    <col width="13.26953125" customWidth="1" style="145" min="10" max="10"/>
    <col width="7.7265625" customWidth="1" style="145" min="11" max="11"/>
    <col width="17.54296875" customWidth="1" style="145" min="12" max="12"/>
  </cols>
  <sheetData>
    <row r="1">
      <c r="G1" s="110" t="inlineStr">
        <is>
          <t>Трудоемкости</t>
        </is>
      </c>
    </row>
    <row r="2">
      <c r="G2" s="62" t="inlineStr">
        <is>
          <t>Командировки</t>
        </is>
      </c>
      <c r="H2" s="107">
        <f>1000/1000000</f>
        <v/>
      </c>
    </row>
    <row r="3" ht="22.15" customHeight="1" s="145">
      <c r="B3" s="47" t="n">
        <v>46054</v>
      </c>
      <c r="C3" s="48" t="inlineStr">
        <is>
          <t>РСС</t>
        </is>
      </c>
      <c r="G3" s="64" t="inlineStr">
        <is>
          <t>Отчет за месяц</t>
        </is>
      </c>
    </row>
    <row r="4" ht="44.5" customHeight="1" s="145">
      <c r="B4" s="120" t="inlineStr">
        <is>
          <t>Оборот млн/мес</t>
        </is>
      </c>
      <c r="C4" s="85" t="n">
        <v>298</v>
      </c>
      <c r="D4" s="104" t="inlineStr">
        <is>
          <t>Оборот на чл/год
Эффективность
No=об/чл</t>
        </is>
      </c>
      <c r="E4" s="92">
        <f>100/3</f>
        <v/>
      </c>
      <c r="G4" s="81" t="n"/>
      <c r="H4" s="83" t="inlineStr">
        <is>
          <t>Nрук</t>
        </is>
      </c>
      <c r="I4" s="84" t="n">
        <v>2</v>
      </c>
      <c r="J4" s="73" t="inlineStr">
        <is>
          <t>Оборот на чл/год
No=об/чл</t>
        </is>
      </c>
      <c r="K4" s="80">
        <f>E4</f>
        <v/>
      </c>
      <c r="L4" s="77" t="n"/>
    </row>
    <row r="5" ht="43.9" customHeight="1" s="145">
      <c r="B5" s="121" t="inlineStr">
        <is>
          <t>Процент ФОТ</t>
        </is>
      </c>
      <c r="C5" s="85" t="n">
        <v>8</v>
      </c>
      <c r="D5" s="105" t="inlineStr">
        <is>
          <t>Фот_б
(базовая часть ФОТ)</t>
        </is>
      </c>
      <c r="E5" s="93" t="n">
        <v>0.85</v>
      </c>
      <c r="G5" s="81" t="n"/>
      <c r="I5" s="87" t="n"/>
      <c r="J5" s="70" t="inlineStr">
        <is>
          <t>Nо_факт</t>
        </is>
      </c>
      <c r="K5" s="80">
        <f>Оборот/K7</f>
        <v/>
      </c>
      <c r="L5" s="129" t="inlineStr">
        <is>
          <t>Kэфф-ть отн-о Nо</t>
        </is>
      </c>
      <c r="M5" s="80">
        <f>IF(K6/K8&gt;1,1,K6/K8)</f>
        <v/>
      </c>
    </row>
    <row r="6" ht="46.15" customHeight="1" s="145">
      <c r="B6" s="121" t="inlineStr">
        <is>
          <t>ФОТ, млн</t>
        </is>
      </c>
      <c r="C6" s="86">
        <f>Оборот*C5/(100*12)</f>
        <v/>
      </c>
      <c r="D6" s="106" t="inlineStr">
        <is>
          <t>Фот_б, млн</t>
        </is>
      </c>
      <c r="E6" s="94">
        <f>C6*E5</f>
        <v/>
      </c>
      <c r="F6" s="70" t="inlineStr">
        <is>
          <t>ФОТ_пр</t>
        </is>
      </c>
      <c r="G6" s="89">
        <f>C6-E6</f>
        <v/>
      </c>
      <c r="H6" s="97" t="inlineStr">
        <is>
          <t>Уст-ся значение exp</t>
        </is>
      </c>
      <c r="I6" s="114" t="n">
        <v>2000</v>
      </c>
      <c r="J6" s="70" t="inlineStr">
        <is>
          <t>N=</t>
        </is>
      </c>
      <c r="K6" s="74">
        <f>Оборот/K4</f>
        <v/>
      </c>
      <c r="L6" s="129" t="inlineStr">
        <is>
          <t>чл по модели</t>
        </is>
      </c>
    </row>
    <row r="7" ht="48.65" customHeight="1" s="145">
      <c r="B7" s="122" t="inlineStr">
        <is>
          <t>F(z exp) - прем. рук-й
(доля от ФОТ)</t>
        </is>
      </c>
      <c r="C7" s="94">
        <f>(1-$E$5)*EXP(-Оборот*(1/$I$6))</f>
        <v/>
      </c>
      <c r="D7" s="115" t="inlineStr">
        <is>
          <t>прем. рук-й, млн</t>
        </is>
      </c>
      <c r="E7" s="89">
        <f>C6*C7</f>
        <v/>
      </c>
      <c r="F7" s="116" t="inlineStr">
        <is>
          <t>т.р./млн</t>
        </is>
      </c>
      <c r="G7" s="94">
        <f>E7*1000/Оборот</f>
        <v/>
      </c>
      <c r="H7" s="117" t="n"/>
      <c r="I7" s="118" t="n"/>
      <c r="J7" s="116" t="inlineStr">
        <is>
          <t>Nфакт=</t>
        </is>
      </c>
      <c r="K7" s="119">
        <f>N_факт</f>
        <v/>
      </c>
      <c r="L7" s="117" t="n"/>
    </row>
    <row r="8" ht="32.5" customHeight="1" s="145">
      <c r="B8" s="73" t="n"/>
      <c r="C8" s="82" t="n"/>
      <c r="D8" s="70" t="n"/>
      <c r="E8" s="88" t="n"/>
      <c r="G8" s="95">
        <f>G7*12</f>
        <v/>
      </c>
      <c r="J8" s="70" t="inlineStr">
        <is>
          <t>Nфакт_разв=</t>
        </is>
      </c>
      <c r="K8" s="74">
        <f>N_факт-SUM(F34:F36)</f>
        <v/>
      </c>
      <c r="L8" s="79" t="n">
        <v>1</v>
      </c>
    </row>
    <row r="9" ht="21.65" customHeight="1" s="145">
      <c r="B9" s="43" t="inlineStr">
        <is>
          <t>ФИО</t>
        </is>
      </c>
      <c r="C9" s="43" t="inlineStr">
        <is>
          <t>Категория</t>
        </is>
      </c>
      <c r="D9" s="43" t="inlineStr">
        <is>
          <t>Оклад, т.р.</t>
        </is>
      </c>
      <c r="E9" s="43" t="inlineStr">
        <is>
          <t>Премия, т.р.</t>
        </is>
      </c>
      <c r="F9" s="43" t="inlineStr">
        <is>
          <t>ЗП, т.р.</t>
        </is>
      </c>
      <c r="G9" s="43" t="inlineStr">
        <is>
          <t>Примеч.</t>
        </is>
      </c>
      <c r="H9" s="43" t="inlineStr">
        <is>
          <t>Факт.</t>
        </is>
      </c>
      <c r="I9" s="43" t="inlineStr">
        <is>
          <t>Разн.</t>
        </is>
      </c>
      <c r="J9" s="43" t="inlineStr">
        <is>
          <t>Разработка</t>
        </is>
      </c>
    </row>
    <row r="10" ht="18" customHeight="1" s="145">
      <c r="B10" s="44" t="inlineStr">
        <is>
          <t>Коршунов А.А.</t>
        </is>
      </c>
      <c r="C10" s="44" t="inlineStr">
        <is>
          <t>РП</t>
        </is>
      </c>
      <c r="D10" s="39" t="n">
        <v>170</v>
      </c>
      <c r="E10" s="40">
        <f>F10-D10</f>
        <v/>
      </c>
      <c r="F10" s="53" t="n">
        <v>170</v>
      </c>
      <c r="G10" s="54" t="inlineStr">
        <is>
          <t>3252 Африкантов, 2150</t>
        </is>
      </c>
      <c r="H10" s="53" t="n">
        <v>170</v>
      </c>
      <c r="I10" s="41">
        <f>F10-H10</f>
        <v/>
      </c>
      <c r="J10" s="98" t="n">
        <v>1</v>
      </c>
    </row>
    <row r="11" ht="33.65" customHeight="1" s="145">
      <c r="B11" s="44" t="inlineStr">
        <is>
          <t>Лазарев А.Е.</t>
        </is>
      </c>
      <c r="C11" s="44" t="inlineStr">
        <is>
          <t>Инж. 2</t>
        </is>
      </c>
      <c r="D11" s="39" t="n">
        <v>175</v>
      </c>
      <c r="E11" s="49">
        <f>F11-D11</f>
        <v/>
      </c>
      <c r="F11" s="53" t="n">
        <v>185</v>
      </c>
      <c r="G11" s="135" t="inlineStr">
        <is>
          <t>ДФМ: КД с Дмитриевым по датчикам; 3135 (командировки, ревизии, покупные), актуализация по КД;</t>
        </is>
      </c>
      <c r="H11" s="53" t="n">
        <v>184.4</v>
      </c>
      <c r="I11" s="42">
        <f>F11-H11</f>
        <v/>
      </c>
      <c r="J11" s="132" t="n">
        <v>1</v>
      </c>
    </row>
    <row r="12" ht="40.9" customHeight="1" s="145">
      <c r="B12" s="44" t="inlineStr">
        <is>
          <t>Лобачев А.Г.</t>
        </is>
      </c>
      <c r="C12" s="44" t="inlineStr">
        <is>
          <t>Инж. 1</t>
        </is>
      </c>
      <c r="D12" s="39" t="n">
        <v>220</v>
      </c>
      <c r="E12" s="40">
        <f>F12-D12</f>
        <v/>
      </c>
      <c r="F12" s="53" t="n">
        <v>245</v>
      </c>
      <c r="G12" s="135" t="inlineStr">
        <is>
          <t>ТКП 005/2026 ЛИАЗ; ТКП 325/2025 Камаз
3120 - изменения РД, подготовка к командировке; 3135 - внесение правок в РД; 
3209 - разработка РД"</t>
        </is>
      </c>
      <c r="H12" s="53" t="n">
        <v>245</v>
      </c>
      <c r="I12" s="41">
        <f>F12-H12</f>
        <v/>
      </c>
      <c r="J12" s="98" t="n">
        <v>1</v>
      </c>
    </row>
    <row r="13" ht="67.90000000000001" customHeight="1" s="145">
      <c r="B13" s="45" t="inlineStr">
        <is>
          <t>Потолочин И.М.</t>
        </is>
      </c>
      <c r="C13" s="44" t="inlineStr">
        <is>
          <t>РП</t>
        </is>
      </c>
      <c r="D13" s="39" t="n">
        <v>180</v>
      </c>
      <c r="E13" s="40">
        <f>F13-D13</f>
        <v/>
      </c>
      <c r="F13" s="53" t="n">
        <v>185</v>
      </c>
      <c r="G13" s="112" t="inlineStr">
        <is>
          <t>2850, 3040
ткп: сатурн 26,27 ст. обновл.</t>
        </is>
      </c>
      <c r="H13" s="53" t="n">
        <v>188.331</v>
      </c>
      <c r="I13" s="41">
        <f>F13-H13</f>
        <v/>
      </c>
      <c r="J13" s="98" t="n">
        <v>1</v>
      </c>
    </row>
    <row r="14" ht="87" customHeight="1" s="145">
      <c r="B14" s="67" t="inlineStr">
        <is>
          <t>Баженова Н.М.</t>
        </is>
      </c>
      <c r="C14" s="66" t="inlineStr">
        <is>
          <t>Администратор</t>
        </is>
      </c>
      <c r="D14" s="69" t="n">
        <v>140</v>
      </c>
      <c r="E14" s="40">
        <f>F14-D14</f>
        <v/>
      </c>
      <c r="F14" s="69" t="n">
        <v>150</v>
      </c>
      <c r="G14" s="68" t="inlineStr">
        <is>
          <t>3218 - документация; Макрос для сохранения хронологии статусов в заказах,
Автоматическая гугл таблица для отчетности и планов отдела; Администрирование заказов отдела (ПВЗ, догворные сроки и этапы, подготовка к ОС: входящие письма, вопросы, констр. заметки), работа с письмами отдела, помощь с ДО 1С; Внесение предложений в 1С: проработка входящих/исходящих, редакция инструкции, неотвеченные письма, перечень писем, проработка бп по входящим</t>
        </is>
      </c>
      <c r="H14" s="69" t="n">
        <v>148.695</v>
      </c>
      <c r="I14" s="41">
        <f>F14-H14</f>
        <v/>
      </c>
      <c r="J14" s="84" t="n">
        <v>0</v>
      </c>
    </row>
    <row r="15" ht="20.5" customHeight="1" s="145">
      <c r="B15" s="67" t="inlineStr">
        <is>
          <t>Данилин</t>
        </is>
      </c>
      <c r="C15" s="66" t="inlineStr">
        <is>
          <t>МП</t>
        </is>
      </c>
      <c r="D15" s="69" t="n">
        <v>145</v>
      </c>
      <c r="E15" s="40">
        <f>F15-D15</f>
        <v/>
      </c>
      <c r="F15" s="69" t="n">
        <v>150</v>
      </c>
      <c r="G15" s="75" t="inlineStr">
        <is>
          <t>Метровагонмаш; 3209 командировка ; 3209, 3236, 3263, 2888 ; Участие в организации праздника</t>
        </is>
      </c>
      <c r="H15" s="69" t="n">
        <v>150</v>
      </c>
      <c r="I15" s="41">
        <f>F15-H15</f>
        <v/>
      </c>
      <c r="J15" s="98" t="n">
        <v>1</v>
      </c>
    </row>
    <row r="16" ht="67.90000000000001" customHeight="1" s="145">
      <c r="B16" s="44" t="inlineStr">
        <is>
          <t>Проскурин М.А.</t>
        </is>
      </c>
      <c r="C16" s="44" t="inlineStr">
        <is>
          <t>Менеджер проектов</t>
        </is>
      </c>
      <c r="D16" s="39" t="n">
        <v>185</v>
      </c>
      <c r="E16" s="90">
        <f>F16-D16</f>
        <v/>
      </c>
      <c r="F16" s="53" t="n">
        <v>185</v>
      </c>
      <c r="G16" s="136" t="inlineStr">
        <is>
          <t>3095 Кронштадт (Оплата заказа заказчиком)
3110 (командировка к заказчик,странение замечанийпо работе ЭЦ),
3119 (устранение замечаний в ходе ПНР)
3129 (командировка к заказчику,сдача оборудования,устранение замечаний полученных в ходе монтажных работ)
3251</t>
        </is>
      </c>
      <c r="H16" s="53" t="n">
        <v>185.047</v>
      </c>
      <c r="I16" s="42">
        <f>F16-H16</f>
        <v/>
      </c>
      <c r="J16" s="98" t="n">
        <v>1</v>
      </c>
    </row>
    <row r="17" ht="42.65" customHeight="1" s="145">
      <c r="B17" s="44" t="inlineStr">
        <is>
          <t>Грязнев А.А.</t>
        </is>
      </c>
      <c r="C17" s="44" t="inlineStr">
        <is>
          <t>Инж.</t>
        </is>
      </c>
      <c r="D17" s="39" t="n">
        <v>180</v>
      </c>
      <c r="E17" s="90">
        <f>F17-D17</f>
        <v/>
      </c>
      <c r="F17" s="60" t="n">
        <v>185</v>
      </c>
      <c r="G17" s="54" t="inlineStr">
        <is>
          <t>003_26 ЦентрИнжиниринг ГТУ, 017_26 ЦИАМ, 025_26 АПД; 3119 замечания по задвижкам, 3129, 3236</t>
        </is>
      </c>
      <c r="H17" s="60" t="n">
        <v>185</v>
      </c>
      <c r="I17" s="41">
        <f>F17-H17</f>
        <v/>
      </c>
      <c r="J17" s="98" t="n">
        <v>1</v>
      </c>
      <c r="L17" s="103" t="inlineStr">
        <is>
          <t>если все риски</t>
        </is>
      </c>
    </row>
    <row r="18" ht="39.65" customHeight="1" s="145">
      <c r="B18" s="44" t="inlineStr">
        <is>
          <t>Скрипник А-р А.</t>
        </is>
      </c>
      <c r="C18" s="44" t="inlineStr">
        <is>
          <t>Вед. инж.</t>
        </is>
      </c>
      <c r="D18" s="39" t="n">
        <v>220</v>
      </c>
      <c r="E18" s="90">
        <f>F18-D18</f>
        <v/>
      </c>
      <c r="F18" s="91">
        <f>D18+Kэфф*($E$7*1000)/2</f>
        <v/>
      </c>
      <c r="G18" s="54" t="inlineStr">
        <is>
          <t>АСУ ТП Ц-3А, 2 поршневых стенда; 3120, 3135, 3209; Интеграция Medyan; Анализ неисправностей 3110</t>
        </is>
      </c>
      <c r="H18" s="63" t="n">
        <v>298.313</v>
      </c>
      <c r="I18" s="40">
        <f>F18-H18</f>
        <v/>
      </c>
      <c r="J18" s="132" t="n">
        <v>1</v>
      </c>
      <c r="K18" s="133" t="n"/>
      <c r="L18" s="134">
        <f>D18+($E$7-перерасход)*(1000/2)</f>
        <v/>
      </c>
      <c r="N18" s="137" t="n"/>
    </row>
    <row r="19" ht="89.5" customHeight="1" s="145">
      <c r="B19" s="44" t="inlineStr">
        <is>
          <t>Скрипник А-й.А.</t>
        </is>
      </c>
      <c r="C19" s="44" t="inlineStr">
        <is>
          <t>Рук. отд.</t>
        </is>
      </c>
      <c r="D19" s="39" t="n">
        <v>250</v>
      </c>
      <c r="E19" s="90">
        <f>F19-D19</f>
        <v/>
      </c>
      <c r="F19" s="91">
        <f>D19+Kэфф*($E$7*1000)/2</f>
        <v/>
      </c>
      <c r="G19" s="131" t="inlineStr">
        <is>
          <t>ТКП: Актуализация табл. ТКП, Конференция с модальщиками (Лавочкина), встреча с ТМХ, МИРЭА 296_25, Солнышков 351_25;
Заказ: 3218 - обучение Страхова работе с ПО, правки документации, доработки;
Развитие: подготовка плана программист ДФМ - раб.место, ТЗ, контроль работ и обучение. Доработка шаблона ТКП для хронологии (с НБ), План разв. мех. производства с Дмитриевым; 1С - список замечаний с НБ
ОС/ Письма/ Сводка ТКП</t>
        </is>
      </c>
      <c r="H19" s="63" t="n">
        <v>329.4</v>
      </c>
      <c r="I19" s="96">
        <f>F19-H19</f>
        <v/>
      </c>
      <c r="J19" s="98" t="n">
        <v>1</v>
      </c>
      <c r="L19" s="102">
        <f>D19+($E$7-перерасход)*(1000/2)</f>
        <v/>
      </c>
      <c r="M19" s="65" t="n"/>
      <c r="N19" s="137" t="n"/>
    </row>
    <row r="20" ht="57" customHeight="1" s="145">
      <c r="B20" s="44" t="inlineStr">
        <is>
          <t>Силаев С.Г.</t>
        </is>
      </c>
      <c r="C20" s="44" t="inlineStr">
        <is>
          <t>Инж. 2</t>
        </is>
      </c>
      <c r="D20" s="39" t="n">
        <v>190</v>
      </c>
      <c r="E20" s="40">
        <f>F20-D20</f>
        <v/>
      </c>
      <c r="F20" s="61" t="n">
        <v>205</v>
      </c>
      <c r="G20" s="54" t="inlineStr">
        <is>
          <t>630_25 МАИ, солнышков 351, 044_26 УЗГА СЭС; 2150; wikimedia; 044 узга; 029 ОКБМ Африкантов
wikimedia - механизм генерации свойств устройств (автопоиск, обработка LLM);</t>
        </is>
      </c>
      <c r="H20" s="61" t="n">
        <v>220.5</v>
      </c>
      <c r="I20" s="41">
        <f>F20-H20</f>
        <v/>
      </c>
      <c r="J20" s="98" t="n">
        <v>1</v>
      </c>
      <c r="M20" s="65" t="n"/>
    </row>
    <row r="21" ht="24.65" customHeight="1" s="145">
      <c r="B21" s="44" t="inlineStr">
        <is>
          <t>Коростелев О.Б.</t>
        </is>
      </c>
      <c r="C21" s="44" t="inlineStr">
        <is>
          <t>Вед. инж.</t>
        </is>
      </c>
      <c r="D21" s="39" t="n">
        <v>160</v>
      </c>
      <c r="E21" s="40">
        <f>F21-D21</f>
        <v/>
      </c>
      <c r="F21" s="60" t="n">
        <v>165</v>
      </c>
      <c r="G21" s="135" t="inlineStr">
        <is>
          <t>Доработки по датчикам, запуск коммутатора, проверки решений по размещению датчиков в ГТУ</t>
        </is>
      </c>
      <c r="H21" s="60" t="n">
        <v>162.505</v>
      </c>
      <c r="I21" s="41">
        <f>F21-H21</f>
        <v/>
      </c>
      <c r="J21" s="84" t="n">
        <v>0</v>
      </c>
      <c r="M21" s="65" t="n"/>
    </row>
    <row r="22" ht="51.65" customHeight="1" s="145">
      <c r="B22" s="44" t="inlineStr">
        <is>
          <t>Потолочин М.П.</t>
        </is>
      </c>
      <c r="C22" s="44" t="inlineStr">
        <is>
          <t>Инж. 2</t>
        </is>
      </c>
      <c r="D22" s="39" t="n">
        <v>200</v>
      </c>
      <c r="E22" s="49">
        <f>F22-D22</f>
        <v/>
      </c>
      <c r="F22" s="60" t="n">
        <v>220</v>
      </c>
      <c r="G22" s="54" t="inlineStr">
        <is>
          <t>296_26 (018,019) МИРЭА, 351_25 Солнышков, 319_25 Вибростенд 60кН, 325_25 Камаз, 051_26 трансмиссия, 655_25 Автотор; 3251; Высокотемпературные датчики (орг-н процесс разработки); Коврики, акустика, медиан, климатическая камера Метровагонмаш</t>
        </is>
      </c>
      <c r="H22" s="60" t="n">
        <v>218.695</v>
      </c>
      <c r="I22" s="41">
        <f>F22-H22</f>
        <v/>
      </c>
      <c r="J22" s="84" t="n">
        <v>0</v>
      </c>
    </row>
    <row r="23" ht="34.15" customHeight="1" s="145">
      <c r="B23" s="44" t="inlineStr">
        <is>
          <t>Горенков А.В.</t>
        </is>
      </c>
      <c r="C23" s="44" t="inlineStr">
        <is>
          <t>Инж. 2</t>
        </is>
      </c>
      <c r="D23" s="39" t="n">
        <v>170</v>
      </c>
      <c r="E23" s="49">
        <f>F23-D23</f>
        <v/>
      </c>
      <c r="F23" s="60" t="n">
        <v>170</v>
      </c>
      <c r="G23" s="54" t="inlineStr">
        <is>
          <t xml:space="preserve">Подготовка рабочего места, установка ПО.
Установка Linux на доп HDD с ПО, Настройка CLI для разработки,
</t>
        </is>
      </c>
      <c r="H23" s="60" t="n">
        <v>170</v>
      </c>
      <c r="I23" s="41">
        <f>F23-H23</f>
        <v/>
      </c>
      <c r="J23" s="84" t="n">
        <v>0</v>
      </c>
    </row>
    <row r="24" ht="20.5" customHeight="1" s="145">
      <c r="B24" s="44" t="inlineStr">
        <is>
          <t>Фокин С.В.</t>
        </is>
      </c>
      <c r="C24" s="44" t="inlineStr">
        <is>
          <t>Инж. 2</t>
        </is>
      </c>
      <c r="D24" s="39" t="n">
        <v>175</v>
      </c>
      <c r="E24" s="49">
        <f>F24-D24</f>
        <v/>
      </c>
      <c r="F24" s="60" t="n">
        <v>175</v>
      </c>
      <c r="G24" s="54" t="inlineStr">
        <is>
          <t>2083 - ПОЗиС Катапульта
LabVIEW driver MX-255</t>
        </is>
      </c>
      <c r="H24" s="60" t="n">
        <v>175</v>
      </c>
      <c r="I24" s="41">
        <f>F24-H24</f>
        <v/>
      </c>
      <c r="J24" s="84" t="n">
        <v>0</v>
      </c>
    </row>
    <row r="25" ht="16.9" customHeight="1" s="145">
      <c r="B25" s="55" t="n"/>
      <c r="C25" s="56" t="n"/>
      <c r="D25" s="57" t="n"/>
      <c r="E25" s="58" t="n"/>
      <c r="F25" s="53" t="n"/>
      <c r="G25" s="59" t="n"/>
      <c r="H25" s="50" t="n"/>
      <c r="I25" s="50" t="n"/>
    </row>
    <row r="26" ht="28.9" customHeight="1" s="145">
      <c r="E26" s="123" t="inlineStr">
        <is>
          <t>Итог разв:</t>
        </is>
      </c>
      <c r="F26" s="71">
        <f>SUMIF(J10:J24,"0",F10:F24)</f>
        <v/>
      </c>
      <c r="G26" s="51" t="n"/>
      <c r="H26" s="50" t="n"/>
      <c r="I26" s="50" t="n"/>
      <c r="J26" s="65" t="n"/>
    </row>
    <row r="27" ht="27.65" customHeight="1" s="145">
      <c r="C27" s="73" t="inlineStr">
        <is>
          <t>учет разв.</t>
        </is>
      </c>
      <c r="D27" s="70" t="inlineStr">
        <is>
          <t>Полный</t>
        </is>
      </c>
      <c r="E27" s="124" t="inlineStr">
        <is>
          <t>Итог</t>
        </is>
      </c>
      <c r="F27" s="72">
        <f>SUM(F10:F24)</f>
        <v/>
      </c>
      <c r="G27" s="46" t="inlineStr">
        <is>
          <t>т.р.</t>
        </is>
      </c>
      <c r="H27" s="128" t="inlineStr">
        <is>
          <t>100/чл</t>
        </is>
      </c>
      <c r="I27" s="74">
        <f>1/K4</f>
        <v/>
      </c>
    </row>
    <row r="28" ht="29.5" customHeight="1" s="145">
      <c r="C28" s="82">
        <f>100*12*(F27-F26)/(F29*10^3)</f>
        <v/>
      </c>
      <c r="D28" s="111">
        <f>TEXT(F27*1200/(F29*10^3),"0,00")</f>
        <v/>
      </c>
      <c r="E28" s="125" t="inlineStr">
        <is>
          <t>Проц. от об-та</t>
        </is>
      </c>
      <c r="F28" s="101">
        <f>CONCATENATE("Разв.:",TEXT(C28,"0,00"),"; Полн.: ",D28)</f>
        <v/>
      </c>
      <c r="G28" s="46" t="inlineStr">
        <is>
          <t>%</t>
        </is>
      </c>
      <c r="H28" s="129" t="inlineStr">
        <is>
          <t>перерасход, млн</t>
        </is>
      </c>
      <c r="I28" s="99">
        <f>(C28-C5)*Оборот/(12*100)</f>
        <v/>
      </c>
    </row>
    <row r="29" ht="45" customHeight="1" s="145">
      <c r="E29" s="126" t="inlineStr">
        <is>
          <t>Оборот, млн
Средн. 1г.</t>
        </is>
      </c>
      <c r="F29" s="76">
        <f>Оборот</f>
        <v/>
      </c>
      <c r="G29" s="46" t="inlineStr">
        <is>
          <t>млн</t>
        </is>
      </c>
      <c r="H29" s="130" t="n"/>
    </row>
    <row r="30" ht="38.5" customHeight="1" s="145">
      <c r="E30" s="127" t="inlineStr">
        <is>
          <t>Зпсред</t>
        </is>
      </c>
      <c r="F30" s="100">
        <f>AVERAGE(F10:F24)</f>
        <v/>
      </c>
      <c r="G30" s="88" t="n"/>
      <c r="H30" s="129" t="inlineStr">
        <is>
          <t>Зп_сред.
Модель ФОТ/No</t>
        </is>
      </c>
      <c r="I30" s="99">
        <f>(Оборот*$C$5*1000/(100*12))/$K$6</f>
        <v/>
      </c>
      <c r="J30" s="52" t="inlineStr">
        <is>
          <t>При N=</t>
        </is>
      </c>
      <c r="K30" s="108">
        <f>K6</f>
        <v/>
      </c>
      <c r="L30" s="109">
        <f>I30*Kэфф</f>
        <v/>
      </c>
      <c r="M30" s="52" t="inlineStr">
        <is>
          <t>При N=</t>
        </is>
      </c>
      <c r="N30" s="74">
        <f>K8</f>
        <v/>
      </c>
      <c r="O30" s="87" t="n"/>
    </row>
    <row r="31" ht="42" customHeight="1" s="145">
      <c r="E31" s="127" t="inlineStr">
        <is>
          <t>No</t>
        </is>
      </c>
      <c r="F31" s="72" t="n">
        <v>14</v>
      </c>
      <c r="G31" s="70" t="inlineStr">
        <is>
          <t>С учетом программистов - факт 12 чл</t>
        </is>
      </c>
      <c r="H31" s="128" t="inlineStr">
        <is>
          <t>Зп_р/ср</t>
        </is>
      </c>
      <c r="I31" s="78">
        <f>330*M5</f>
        <v/>
      </c>
      <c r="L31" s="103" t="inlineStr">
        <is>
          <t>С учетом коэфиициента расч. Оборот к N</t>
        </is>
      </c>
      <c r="M31" s="77" t="n"/>
    </row>
    <row r="32"/>
    <row r="33"/>
    <row r="34">
      <c r="E34" s="70" t="inlineStr">
        <is>
          <t>Прогр.</t>
        </is>
      </c>
      <c r="F34" s="98" t="n">
        <v>2</v>
      </c>
      <c r="G34" s="70" t="inlineStr">
        <is>
          <t>Коростелев, Фокин</t>
        </is>
      </c>
    </row>
    <row r="35">
      <c r="E35" s="70" t="inlineStr">
        <is>
          <t>Разв-ие</t>
        </is>
      </c>
      <c r="F35" s="98" t="n">
        <v>1</v>
      </c>
      <c r="G35" s="70" t="inlineStr">
        <is>
          <t>Потолочин МП</t>
        </is>
      </c>
    </row>
    <row r="36">
      <c r="E36" s="70" t="inlineStr">
        <is>
          <t>Адм</t>
        </is>
      </c>
      <c r="F36" s="98" t="n">
        <v>1</v>
      </c>
      <c r="G36" s="70" t="inlineStr">
        <is>
          <t>Баженова</t>
        </is>
      </c>
    </row>
    <row r="37">
      <c r="E37" s="70" t="inlineStr">
        <is>
          <t>Рук</t>
        </is>
      </c>
      <c r="F37" s="98" t="n">
        <v>0.15</v>
      </c>
      <c r="G37" s="70" t="inlineStr">
        <is>
          <t>Скрипник Ай</t>
        </is>
      </c>
    </row>
    <row r="38">
      <c r="E38" s="70" t="inlineStr">
        <is>
          <t>Рук</t>
        </is>
      </c>
      <c r="F38" s="98" t="n">
        <v>0.5</v>
      </c>
      <c r="G38" s="70" t="inlineStr">
        <is>
          <t>Скрипник Ар</t>
        </is>
      </c>
    </row>
  </sheetData>
  <conditionalFormatting sqref="I10:I13 I16 I18:I21 I24:I26">
    <cfRule type="cellIs" priority="8" operator="greaterThan" dxfId="0">
      <formula>0</formula>
    </cfRule>
  </conditionalFormatting>
  <conditionalFormatting sqref="I17">
    <cfRule type="cellIs" priority="6" operator="greaterThan" dxfId="0">
      <formula>0</formula>
    </cfRule>
  </conditionalFormatting>
  <conditionalFormatting sqref="I22">
    <cfRule type="cellIs" priority="4" operator="greaterThan" dxfId="0">
      <formula>0</formula>
    </cfRule>
  </conditionalFormatting>
  <conditionalFormatting sqref="I14">
    <cfRule type="cellIs" priority="3" operator="greaterThan" dxfId="0">
      <formula>0</formula>
    </cfRule>
  </conditionalFormatting>
  <conditionalFormatting sqref="I15">
    <cfRule type="cellIs" priority="2" operator="greaterThan" dxfId="0">
      <formula>0</formula>
    </cfRule>
  </conditionalFormatting>
  <conditionalFormatting sqref="I23">
    <cfRule type="cellIs" priority="1" operator="greaterThan" dxfId="0">
      <formula>0</formula>
    </cfRule>
  </conditionalFormatting>
  <hyperlinks>
    <hyperlink xmlns:r="http://schemas.openxmlformats.org/officeDocument/2006/relationships" ref="G1" location="gid=188003400" display="https://docs.google.com/spreadsheets/d/1mUoVyqMvLxNkew3nU1ZeJ1OjpYy3j-FOVDpqwsZ9BPU/edit?gid=188003400#gid=188003400" r:id="rId1"/>
    <hyperlink xmlns:r="http://schemas.openxmlformats.org/officeDocument/2006/relationships" ref="G2" display="&quot;\\Fserv\e\MERA\WORKS\ДСИ\РСС\3. Документы\командировки\ДСИ РСС командировки 2023_v01.xlsx&quot; " r:id="rId2"/>
    <hyperlink xmlns:r="http://schemas.openxmlformats.org/officeDocument/2006/relationships" ref="G3" location="gid=445756468" r:id="rId3"/>
  </hyperlinks>
  <pageMargins left="0.7086614173228347" right="0.7086614173228347" top="0.7480314960629921" bottom="0.7480314960629921" header="0.3149606299212598" footer="0.3149606299212598"/>
  <pageSetup orientation="landscape" paperSize="9" scale="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B8" sqref="B8"/>
    </sheetView>
  </sheetViews>
  <sheetFormatPr baseColWidth="8" defaultRowHeight="14.5"/>
  <cols>
    <col width="11.453125" customWidth="1" style="145" min="2" max="2"/>
    <col width="55.453125" customWidth="1" style="145" min="3" max="3"/>
    <col width="8.26953125" customWidth="1" style="145" min="4" max="4"/>
    <col width="44.453125" customWidth="1" style="145" min="5" max="5"/>
  </cols>
  <sheetData>
    <row r="2">
      <c r="B2" s="70" t="inlineStr">
        <is>
          <t>ФОТ млн</t>
        </is>
      </c>
      <c r="C2" s="70" t="inlineStr">
        <is>
          <t>8% от среднемесечного оборота</t>
        </is>
      </c>
      <c r="D2" s="113" t="n">
        <v>0.85</v>
      </c>
      <c r="E2" s="70" t="inlineStr">
        <is>
          <t>базовая часть которая определяет среднюю ЗП</t>
        </is>
      </c>
    </row>
    <row r="3" ht="65.5" customHeight="1" s="145">
      <c r="B3" s="70" t="inlineStr">
        <is>
          <t>Fz</t>
        </is>
      </c>
      <c r="C3" s="73" t="inlineStr">
        <is>
          <t>Затухающая экспонента отражает стпень вовлечения руководителей
(снижает долю премии при росте оборота)</t>
        </is>
      </c>
      <c r="D3" s="113" t="n">
        <v>2000</v>
      </c>
      <c r="E3" s="73" t="inlineStr">
        <is>
          <t>устоявшееся значение - больше 2 млрд премия перестает расти от оборота и растет только с средней зп всех сотрудников. Средняя растет от оборота только за счет эффективности</t>
        </is>
      </c>
    </row>
    <row r="4">
      <c r="B4" s="70" t="inlineStr">
        <is>
          <t>Nрук</t>
        </is>
      </c>
      <c r="C4" s="70" t="inlineStr">
        <is>
          <t>делит премию Fz между руководителями</t>
        </is>
      </c>
    </row>
    <row r="5" ht="78" customHeight="1" s="145">
      <c r="B5" s="70" t="inlineStr">
        <is>
          <t>No</t>
        </is>
      </c>
      <c r="C5" s="73" t="inlineStr">
        <is>
          <t>Оборот на чл. Выбрано исходя из здравого смысла с учетом существующей статистики 100 млн.
3 человека могут выполнять заказы на 100 млн (РП, ТРП, помошник), успевать делать ТКП и решать минимальный набор задач связанный с орг/адм/ развитием</t>
        </is>
      </c>
    </row>
    <row r="6">
      <c r="B6" s="70" t="inlineStr">
        <is>
          <t>Nфакт</t>
        </is>
      </c>
      <c r="C6" s="70" t="inlineStr">
        <is>
          <t>Сколько людей в отделе. Влияет на сред. Зп ()</t>
        </is>
      </c>
    </row>
    <row r="7" ht="36.65" customHeight="1" s="145">
      <c r="B7" s="70" t="inlineStr">
        <is>
          <t>Nфакт_разв</t>
        </is>
      </c>
      <c r="C7" s="73" t="inlineStr">
        <is>
          <t>количество людей занятое в заказах (исходя из модели - программисты - ЦР не учитываются в проектных группах)</t>
        </is>
      </c>
    </row>
    <row r="8" ht="103.9" customHeight="1" s="145">
      <c r="B8" s="73" t="inlineStr">
        <is>
          <t>Справочные расчеты</t>
        </is>
      </c>
      <c r="C8" s="73" t="inlineStr">
        <is>
          <t>Если все риски и если не все - Если все риски, то если ФОТ группы &lt; расчетного то избыток вычитается из рук-й (но и в обратную сторону работает если меньше людей чем расчетное количество то идет расчет бонуса).
Если не все, то умножается на Кэфф (расчет сколько в группе должно быть людей исходя из ФОТ) - работа идет по этой формуле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Elli 2.1 Full</dc:creator>
  <dcterms:created xmlns:dcterms="http://purl.org/dc/terms/" xmlns:xsi="http://www.w3.org/2001/XMLSchema-instance" xsi:type="dcterms:W3CDTF">2014-04-29T13:15:21Z</dcterms:created>
  <dcterms:modified xmlns:dcterms="http://purl.org/dc/terms/" xmlns:xsi="http://www.w3.org/2001/XMLSchema-instance" xsi:type="dcterms:W3CDTF">2026-04-27T19:54:26Z</dcterms:modified>
  <cp:lastModifiedBy>User12345</cp:lastModifiedBy>
  <cp:lastPrinted>2025-03-19T12:40:52Z</cp:lastPrinted>
</cp:coreProperties>
</file>