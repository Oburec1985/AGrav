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ЭтаКнига" defaultThemeVersion="124226"/>
  <mc:AlternateContent xmlns:mc="http://schemas.openxmlformats.org/markup-compatibility/2006">
    <mc:Choice Requires="x15">
      <x15ac:absPath xmlns:x15ac="http://schemas.microsoft.com/office/spreadsheetml/2010/11/ac" url="E:\Oburec\AGrav\00_Система\Инструменты\Python_Excel\"/>
    </mc:Choice>
  </mc:AlternateContent>
  <bookViews>
    <workbookView xWindow="0" yWindow="0" windowWidth="28800" windowHeight="12345"/>
  </bookViews>
  <sheets>
    <sheet name="Итог" sheetId="69" r:id="rId1"/>
    <sheet name="Инструкция" sheetId="70" r:id="rId2"/>
  </sheets>
  <definedNames>
    <definedName name="Kэфф">Итог!$M$5</definedName>
    <definedName name="N_факт">Итог!$F$31</definedName>
    <definedName name="Оборот">Итог!$C$4</definedName>
    <definedName name="перерасход">Итог!$I$28</definedName>
    <definedName name="Процент">#REF!</definedName>
    <definedName name="Чел_мес">#REF!</definedName>
  </definedNames>
  <calcPr calcId="162913"/>
</workbook>
</file>

<file path=xl/calcChain.xml><?xml version="1.0" encoding="utf-8"?>
<calcChain xmlns="http://schemas.openxmlformats.org/spreadsheetml/2006/main">
  <c r="L1" i="69" l="1"/>
  <c r="F17" i="69" l="1"/>
  <c r="F14" i="69"/>
  <c r="F13" i="69" l="1"/>
  <c r="I23" i="69" l="1"/>
  <c r="E23" i="69"/>
  <c r="K8" i="69" l="1"/>
  <c r="N30" i="69" l="1"/>
  <c r="F26" i="69"/>
  <c r="E4" i="69" l="1"/>
  <c r="K4" i="69" s="1"/>
  <c r="H2" i="69" l="1"/>
  <c r="F29" i="69" l="1"/>
  <c r="K7" i="69"/>
  <c r="K5" i="69" s="1"/>
  <c r="C7" i="69" l="1"/>
  <c r="C6" i="69"/>
  <c r="K6" i="69" l="1"/>
  <c r="I27" i="69"/>
  <c r="E7" i="69"/>
  <c r="E6" i="69"/>
  <c r="G6" i="69" s="1"/>
  <c r="K30" i="69" l="1"/>
  <c r="M5" i="69"/>
  <c r="I30" i="69"/>
  <c r="G7" i="69"/>
  <c r="G8" i="69" s="1"/>
  <c r="F19" i="69" l="1"/>
  <c r="F18" i="69"/>
  <c r="E18" i="69" s="1"/>
  <c r="L30" i="69"/>
  <c r="I31" i="69"/>
  <c r="E10" i="69"/>
  <c r="I18" i="69" l="1"/>
  <c r="F27" i="69"/>
  <c r="F30" i="69"/>
  <c r="I15" i="69"/>
  <c r="E15" i="69"/>
  <c r="D28" i="69" l="1"/>
  <c r="C28" i="69"/>
  <c r="I28" i="69" s="1"/>
  <c r="E14" i="69"/>
  <c r="I14" i="69"/>
  <c r="I24" i="69"/>
  <c r="E16" i="69" l="1"/>
  <c r="I12" i="69" l="1"/>
  <c r="I19" i="69" l="1"/>
  <c r="E19" i="69" l="1"/>
  <c r="I22" i="69" l="1"/>
  <c r="I21" i="69"/>
  <c r="E22" i="69" l="1"/>
  <c r="I17" i="69" l="1"/>
  <c r="E17" i="69"/>
  <c r="E20" i="69" l="1"/>
  <c r="F28" i="69" l="1"/>
  <c r="I10" i="69"/>
  <c r="I11" i="69"/>
  <c r="I13" i="69"/>
  <c r="I16" i="69"/>
  <c r="I20" i="69"/>
  <c r="L18" i="69" l="1"/>
  <c r="L19" i="69"/>
  <c r="E13" i="69"/>
  <c r="E21" i="69"/>
  <c r="E11" i="69" l="1"/>
  <c r="E12" i="69"/>
  <c r="E24" i="69"/>
</calcChain>
</file>

<file path=xl/sharedStrings.xml><?xml version="1.0" encoding="utf-8"?>
<sst xmlns="http://schemas.openxmlformats.org/spreadsheetml/2006/main" count="122" uniqueCount="112">
  <si>
    <t>РСС</t>
  </si>
  <si>
    <t>ФИО</t>
  </si>
  <si>
    <t>Коршунов А.А.</t>
  </si>
  <si>
    <t>РП</t>
  </si>
  <si>
    <t>Лазарев А.Е.</t>
  </si>
  <si>
    <t>Категория</t>
  </si>
  <si>
    <t>Силаев С.Г.</t>
  </si>
  <si>
    <t>Фокин С.В.</t>
  </si>
  <si>
    <t>Потолочин И.М.</t>
  </si>
  <si>
    <t>Коростелев О.Б.</t>
  </si>
  <si>
    <t>Проскурин М.А.</t>
  </si>
  <si>
    <t>Лобачев А.Г.</t>
  </si>
  <si>
    <t>Скрипник А-р.А.</t>
  </si>
  <si>
    <t>Скрипник А-й.А.</t>
  </si>
  <si>
    <t>Инж. 1</t>
  </si>
  <si>
    <t>Инж. 2</t>
  </si>
  <si>
    <t>Рук. отд.</t>
  </si>
  <si>
    <t>Менеджер проектов</t>
  </si>
  <si>
    <t>Отчет за месяц</t>
  </si>
  <si>
    <t>Премия, т.р.</t>
  </si>
  <si>
    <t>Вед. инж.</t>
  </si>
  <si>
    <t>Итог</t>
  </si>
  <si>
    <t>%</t>
  </si>
  <si>
    <t>т.р.</t>
  </si>
  <si>
    <t>Примеч.</t>
  </si>
  <si>
    <t>Факт.</t>
  </si>
  <si>
    <t>млн</t>
  </si>
  <si>
    <t>Проц. от об-та</t>
  </si>
  <si>
    <t>Оборот, млн
Средн. 1г.</t>
  </si>
  <si>
    <t>Командировки</t>
  </si>
  <si>
    <t>ЗП, т.р.</t>
  </si>
  <si>
    <t>Грязнев А.А.</t>
  </si>
  <si>
    <t>Потолочин М.П.</t>
  </si>
  <si>
    <t>Разн.</t>
  </si>
  <si>
    <t>Инж.</t>
  </si>
  <si>
    <t>Оклад, т.р.</t>
  </si>
  <si>
    <t>Баженова Н.М.</t>
  </si>
  <si>
    <t>Администратор</t>
  </si>
  <si>
    <t>МП</t>
  </si>
  <si>
    <t>Данилин</t>
  </si>
  <si>
    <t>Зпсред</t>
  </si>
  <si>
    <t>No</t>
  </si>
  <si>
    <t>Прогр.</t>
  </si>
  <si>
    <t>Коростелев, Фокин</t>
  </si>
  <si>
    <t>Потолочин МП</t>
  </si>
  <si>
    <t>С учетом программистов - факт 12 чл</t>
  </si>
  <si>
    <t>Зп_сред.
Модель ФОТ/No</t>
  </si>
  <si>
    <t>100/чл</t>
  </si>
  <si>
    <t>чл по модели</t>
  </si>
  <si>
    <t>Адм</t>
  </si>
  <si>
    <t>Баженова</t>
  </si>
  <si>
    <t>Рук</t>
  </si>
  <si>
    <t>Скрипник Ай</t>
  </si>
  <si>
    <t>Скрипник Ар</t>
  </si>
  <si>
    <t>Зп_р/ср</t>
  </si>
  <si>
    <t>Nо_факт</t>
  </si>
  <si>
    <t>Оборот на чл/год
No=об/чл</t>
  </si>
  <si>
    <t>Оборот млн/мес</t>
  </si>
  <si>
    <t>Процент ФОТ</t>
  </si>
  <si>
    <t>ФОТ, млн</t>
  </si>
  <si>
    <t>Фот_б, млн</t>
  </si>
  <si>
    <t>ФОТ_пр</t>
  </si>
  <si>
    <t>Уст-ся значение exp</t>
  </si>
  <si>
    <t>Nрук</t>
  </si>
  <si>
    <t>прем. рук-й, млн</t>
  </si>
  <si>
    <t>Kэфф-ть отн-о Nо</t>
  </si>
  <si>
    <t>N=</t>
  </si>
  <si>
    <t>Nфакт=</t>
  </si>
  <si>
    <t>Nфакт_разв=</t>
  </si>
  <si>
    <t>Фот_б
(базовая часть ФОТ)</t>
  </si>
  <si>
    <t>F(z exp) - прем. рук-й
(доля от ФОТ)</t>
  </si>
  <si>
    <t>т.р./млн</t>
  </si>
  <si>
    <t>Итог разв:</t>
  </si>
  <si>
    <t>перерасход, млн</t>
  </si>
  <si>
    <t>если все риски</t>
  </si>
  <si>
    <r>
      <t xml:space="preserve">Оборот на чл/год
</t>
    </r>
    <r>
      <rPr>
        <b/>
        <sz val="9"/>
        <color rgb="FF000000"/>
        <rFont val="Calibri"/>
        <family val="2"/>
        <charset val="204"/>
      </rPr>
      <t>Эффективность</t>
    </r>
    <r>
      <rPr>
        <sz val="9"/>
        <color rgb="FF000000"/>
        <rFont val="Calibri"/>
        <family val="2"/>
        <charset val="204"/>
      </rPr>
      <t xml:space="preserve">
No=об/чл</t>
    </r>
  </si>
  <si>
    <t>Разв-ие</t>
  </si>
  <si>
    <t>учет разв.</t>
  </si>
  <si>
    <t>Полный</t>
  </si>
  <si>
    <t>При N=</t>
  </si>
  <si>
    <t>Трудоемкости</t>
  </si>
  <si>
    <t>Разработка</t>
  </si>
  <si>
    <t>ФОТ млн</t>
  </si>
  <si>
    <r>
      <rPr>
        <sz val="11"/>
        <color rgb="FFFF0000"/>
        <rFont val="Calibri"/>
        <family val="2"/>
        <charset val="204"/>
      </rPr>
      <t>8%</t>
    </r>
    <r>
      <rPr>
        <sz val="11"/>
        <color rgb="FF000000"/>
        <rFont val="Calibri"/>
        <family val="2"/>
        <charset val="204"/>
      </rPr>
      <t xml:space="preserve"> от среднемесечного оборота</t>
    </r>
  </si>
  <si>
    <t>базовая часть которая определяет среднюю ЗП</t>
  </si>
  <si>
    <t>Fz</t>
  </si>
  <si>
    <t>Затухающая экспонента отражает стпень вовлечения руководителей
(снижает долю премии при росте оборота)</t>
  </si>
  <si>
    <t>устоявшееся значение - больше 2 млрд премия перестает расти от оборота и растет только с средней зп всех сотрудников. Средняя растет от оборота только за счет эффективности</t>
  </si>
  <si>
    <t>делит премию Fz между руководителями</t>
  </si>
  <si>
    <t>Nфакт</t>
  </si>
  <si>
    <t>Оборот на чл. Выбрано исходя из здравого смысла с учетом существующей статистики 100 млн.
3 человека могут выполнять заказы на 100 млн (РП, ТРП, помошник), успевать делать ТКП и решать минимальный набор задач связанный с орг/адм/ развитием</t>
  </si>
  <si>
    <t>Nфакт_разв</t>
  </si>
  <si>
    <t>Сколько людей в отделе. Влияет на сред. Зп ()</t>
  </si>
  <si>
    <t>количество людей занятое в заказах (исходя из модели - программисты - ЦР не учитываются в проектных группах)</t>
  </si>
  <si>
    <t>Справочные расчеты</t>
  </si>
  <si>
    <t>Если все риски и если не все - Если все риски, то если ФОТ группы &lt; расчетного то избыток вычитается из рук-й (но и в обратную сторону работает если меньше людей чем расчетное количество то идет расчет бонуса).
Если не все, то умножается на Кэфф (расчет сколько в группе должно быть людей исходя из ФОТ) - работа идет по этой формуле</t>
  </si>
  <si>
    <t>Горенков А.В.</t>
  </si>
  <si>
    <t>С учетом коэфиициента расч. Оборот к N</t>
  </si>
  <si>
    <t>Заказ: 3209, 3135, проверки ТКП</t>
  </si>
  <si>
    <t>Заказ: 2150 переписка, контроль состояния; 2150 отправка оборудования из ремонта; 3120 организация отправки оригиналов документов; 3257 работа со счетами</t>
  </si>
  <si>
    <t>ТКП: ТКП 059_24, 076_25
Заказ: 3040 Участие в испытаниях, организационные работы по доработке
2850 Метрология, испытания, доработка</t>
  </si>
  <si>
    <t>ТКП: 044_26,157_26; 044_26,157_27</t>
  </si>
  <si>
    <t>Заказ: 2083 - ПОЗиС Катапульта; 3040 - ТМК, plgFatigueTest
Развитие: LabVIEW driver MX-255</t>
  </si>
  <si>
    <t>ТКП: 118_26 Индуктивный датчик Авиадвигатель
Заказ: 3173 запуск изготовления ОПСИ</t>
  </si>
  <si>
    <r>
      <t xml:space="preserve">Заказ: 3129 
1.Контроль изготовления стативов датчиков Метран,Отгрузка заказчику.
2.Контроль доработки контейнера (операторская). Отгрузка заказчику.
3.Контроль изготовления стативов датчиков Метран
4.Контроль монтажных работ по сборке стативов датчиков Метран
3110  Контроль устранения замечаний .(устранено-акт подписан); 3119
Проработка дополнение к ТЗ
3251 Проработка операторской
</t>
    </r>
    <r>
      <rPr>
        <b/>
        <sz val="8"/>
        <color rgb="FF000000"/>
        <rFont val="Calibri"/>
        <family val="2"/>
        <charset val="204"/>
      </rPr>
      <t xml:space="preserve">Дополнительно: </t>
    </r>
    <r>
      <rPr>
        <sz val="8"/>
        <color rgb="FF000000"/>
        <rFont val="Calibri"/>
        <family val="2"/>
        <charset val="204"/>
      </rPr>
      <t>Развитие разработки контейнеров</t>
    </r>
  </si>
  <si>
    <t>ТКП: 26_045, 26_146, 26_167
Заказ: 3236 - отгрузка
Развитие: LLM
Администрирование: 3236, 3209
Дополнительно: Организация музыкального вечера</t>
  </si>
  <si>
    <t>3209, 3135</t>
  </si>
  <si>
    <r>
      <t xml:space="preserve">ТКП: прогресс - вибростенды, Автотор, гидропрес, долгопрудн. КБ автоматики, жуковский мотозавод
</t>
    </r>
    <r>
      <rPr>
        <b/>
        <sz val="8"/>
        <color rgb="FF000000"/>
        <rFont val="Calibri"/>
        <family val="2"/>
        <charset val="204"/>
      </rPr>
      <t>Развитие:</t>
    </r>
    <r>
      <rPr>
        <sz val="8"/>
        <color rgb="FF000000"/>
        <rFont val="Calibri"/>
        <family val="2"/>
        <charset val="204"/>
      </rPr>
      <t xml:space="preserve"> Высокотемпературные датчики, высокотемпературный кабель,( ТЗ, презентации, фтр, формуляр)  поездка в АО Силовые машины-ДФМ организация работы по августовским испытаниям и обновлению ТКП на 65 ГТУ</t>
    </r>
  </si>
  <si>
    <t>Разработка ДФМ</t>
  </si>
  <si>
    <r>
      <rPr>
        <sz val="8"/>
        <color rgb="FFFF0000"/>
        <rFont val="Calibri"/>
        <family val="2"/>
        <charset val="204"/>
      </rPr>
      <t xml:space="preserve"> Сдан заказ 3218 - +10000</t>
    </r>
    <r>
      <rPr>
        <sz val="8"/>
        <color rgb="FF000000"/>
        <rFont val="Calibri"/>
        <family val="2"/>
        <charset val="204"/>
      </rPr>
      <t xml:space="preserve">
Заказ: 3218 - обучение заказчика, закрытие заказа; 2150 - протоколы, статус
Развитие: доделать таблицу отчетности
Администрирование: Администрирование заказов отдела (ПВЗ, догворные сроки и этапы, подготовка к ОС: входящие письма, вопросы, констр. заметки), работа с письмами отдела, табель, помощь с ДО 1С; 1668 - адм. вопроса по mic-819; техническое оснащение,  оснащение к216, к217 - запущены служебки</t>
    </r>
  </si>
  <si>
    <r>
      <rPr>
        <sz val="8"/>
        <color rgb="FFFF0000"/>
        <rFont val="Calibri"/>
        <family val="2"/>
        <charset val="204"/>
      </rPr>
      <t>Затраты на закупки акаунтов ИИ: 3000р;
Обучение Agrav, Codex, установки Скилов, Злобин, Фокин, Горенков - 30000р;</t>
    </r>
    <r>
      <rPr>
        <sz val="8"/>
        <color rgb="FF000000"/>
        <rFont val="Calibri"/>
        <family val="2"/>
        <charset val="204"/>
      </rPr>
      <t xml:space="preserve">
</t>
    </r>
    <r>
      <rPr>
        <b/>
        <sz val="8"/>
        <color rgb="FF000000"/>
        <rFont val="Calibri"/>
        <family val="2"/>
        <charset val="204"/>
      </rPr>
      <t xml:space="preserve">ТКП: </t>
    </r>
    <r>
      <rPr>
        <sz val="8"/>
        <color rgb="FF000000"/>
        <rFont val="Calibri"/>
        <family val="2"/>
        <charset val="204"/>
      </rPr>
      <t xml:space="preserve">КБХМ, КБХА, сводная - совместно
</t>
    </r>
    <r>
      <rPr>
        <b/>
        <sz val="8"/>
        <color rgb="FF000000"/>
        <rFont val="Calibri"/>
        <family val="2"/>
        <charset val="204"/>
      </rPr>
      <t xml:space="preserve">Заказ: </t>
    </r>
    <r>
      <rPr>
        <sz val="8"/>
        <color rgb="FF000000"/>
        <rFont val="Calibri"/>
        <family val="2"/>
        <charset val="204"/>
      </rPr>
      <t xml:space="preserve">3218 сдача заказа, совещание с Силмаш - совместно Потолочин МП, Баженова, Страхов
</t>
    </r>
    <r>
      <rPr>
        <b/>
        <sz val="8"/>
        <color rgb="FF000000"/>
        <rFont val="Calibri"/>
        <family val="2"/>
        <charset val="204"/>
      </rPr>
      <t xml:space="preserve">Развитие: </t>
    </r>
    <r>
      <rPr>
        <sz val="8"/>
        <color rgb="FF000000"/>
        <rFont val="Calibri"/>
        <family val="2"/>
        <charset val="204"/>
      </rPr>
      <t xml:space="preserve">Обзор, установка, решения по нейронкам - Agrav, Codex; Подготовка доклада по ДФМ совместно с Потолочиным МП, </t>
    </r>
    <r>
      <rPr>
        <sz val="8"/>
        <color rgb="FFFF0000"/>
        <rFont val="Calibri"/>
        <family val="2"/>
        <charset val="204"/>
      </rPr>
      <t>перевод для индуса на английский WinPos плагина</t>
    </r>
  </si>
  <si>
    <r>
      <rPr>
        <sz val="8"/>
        <color rgb="FFFF0000"/>
        <rFont val="Calibri"/>
        <family val="2"/>
        <charset val="204"/>
      </rPr>
      <t>запуск antigravity в корпоративной сети +10</t>
    </r>
    <r>
      <rPr>
        <sz val="8"/>
        <color rgb="FF000000"/>
        <rFont val="Calibri"/>
        <family val="2"/>
        <charset val="204"/>
      </rPr>
      <t xml:space="preserve">
</t>
    </r>
    <r>
      <rPr>
        <b/>
        <sz val="8"/>
        <color rgb="FF000000"/>
        <rFont val="Calibri"/>
        <family val="2"/>
        <charset val="204"/>
      </rPr>
      <t xml:space="preserve">ТКП: </t>
    </r>
    <r>
      <rPr>
        <sz val="8"/>
        <color rgb="FF000000"/>
        <rFont val="Calibri"/>
        <family val="2"/>
        <charset val="204"/>
      </rPr>
      <t xml:space="preserve">115_26 ДКБА: командировка, сбор ИД, проработка с КО; 002_26 АВТОТОР получение исходных данных, проработка концепта, взаимодействие с климматиками и аккустиками; 116_26 ЦНИИМАШ 500каналов: вычитка тз,  вопросы, схема
</t>
    </r>
    <r>
      <rPr>
        <b/>
        <sz val="8"/>
        <color rgb="FF000000"/>
        <rFont val="Calibri"/>
        <family val="2"/>
        <charset val="204"/>
      </rPr>
      <t xml:space="preserve">Заказ: </t>
    </r>
    <r>
      <rPr>
        <sz val="8"/>
        <color rgb="FF000000"/>
        <rFont val="Calibri"/>
        <family val="2"/>
        <charset val="204"/>
      </rPr>
      <t xml:space="preserve">3119: доп ТЗ(анализ, правки, согласование) подбор новой арматуры
</t>
    </r>
    <r>
      <rPr>
        <b/>
        <sz val="8"/>
        <color rgb="FF000000"/>
        <rFont val="Calibri"/>
        <family val="2"/>
        <charset val="204"/>
      </rPr>
      <t xml:space="preserve">Развитие: </t>
    </r>
    <r>
      <rPr>
        <sz val="8"/>
        <color rgb="FF000000"/>
        <rFont val="Calibri"/>
        <family val="2"/>
        <charset val="204"/>
      </rPr>
      <t>помощь индусу</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</si>
</sst>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0.0"/>
  </numFmts>
  <fonts count="27" x14ac:knownFonts="1">
    <font>
      <sz val="11"/>
      <color rgb="FF000000"/>
      <name val="Calibri"/>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name val="Calibri"/>
      <family val="2"/>
      <charset val="204"/>
    </font>
    <font>
      <b/>
      <sz val="11"/>
      <color rgb="FF000000"/>
      <name val="Calibri"/>
      <family val="2"/>
      <charset val="204"/>
    </font>
    <font>
      <sz val="11"/>
      <color rgb="FFFF0000"/>
      <name val="Calibri"/>
      <family val="2"/>
      <charset val="204"/>
    </font>
    <font>
      <sz val="11"/>
      <color rgb="FF000000"/>
      <name val="Calibri"/>
      <family val="2"/>
      <charset val="204"/>
    </font>
    <font>
      <sz val="11"/>
      <color rgb="FF000000"/>
      <name val="Calibri"/>
      <family val="2"/>
      <charset val="204"/>
    </font>
    <font>
      <sz val="8"/>
      <name val="Arial"/>
      <family val="2"/>
    </font>
    <font>
      <sz val="11"/>
      <color rgb="FF000000"/>
      <name val="Calibri"/>
      <family val="2"/>
      <charset val="204"/>
    </font>
    <font>
      <u/>
      <sz val="11"/>
      <color theme="10"/>
      <name val="Calibri"/>
      <family val="2"/>
      <charset val="204"/>
    </font>
    <font>
      <sz val="9"/>
      <color rgb="FF000000"/>
      <name val="Calibri"/>
      <family val="2"/>
      <charset val="204"/>
    </font>
    <font>
      <b/>
      <sz val="8"/>
      <color rgb="FF000000"/>
      <name val="Calibri"/>
      <family val="2"/>
      <charset val="204"/>
    </font>
    <font>
      <b/>
      <sz val="8"/>
      <color rgb="FF000000"/>
      <name val="Arial"/>
      <family val="2"/>
      <charset val="204"/>
    </font>
    <font>
      <sz val="8"/>
      <color rgb="FF000000"/>
      <name val="Arial"/>
      <family val="2"/>
      <charset val="204"/>
    </font>
    <font>
      <sz val="8"/>
      <color theme="1"/>
      <name val="Arial"/>
      <family val="2"/>
      <charset val="204"/>
    </font>
    <font>
      <b/>
      <sz val="10"/>
      <color rgb="FF000000"/>
      <name val="Arial"/>
      <family val="2"/>
      <charset val="204"/>
    </font>
    <font>
      <sz val="8"/>
      <color rgb="FF000000"/>
      <name val="Calibri"/>
      <family val="2"/>
      <charset val="204"/>
    </font>
    <font>
      <sz val="9"/>
      <color rgb="FFFF0000"/>
      <name val="Calibri"/>
      <family val="2"/>
      <charset val="204"/>
    </font>
    <font>
      <b/>
      <sz val="9"/>
      <color rgb="FF000000"/>
      <name val="Calibri"/>
      <family val="2"/>
      <charset val="204"/>
    </font>
    <font>
      <u/>
      <sz val="10"/>
      <color theme="10"/>
      <name val="Calibri"/>
      <family val="2"/>
      <charset val="204"/>
    </font>
    <font>
      <sz val="10"/>
      <color rgb="FF000000"/>
      <name val="Arial"/>
      <family val="2"/>
      <charset val="204"/>
    </font>
    <font>
      <sz val="9"/>
      <name val="Calibri"/>
      <family val="2"/>
      <charset val="204"/>
    </font>
    <font>
      <b/>
      <sz val="10"/>
      <color rgb="FF000000"/>
      <name val="Calibri"/>
      <family val="2"/>
      <charset val="204"/>
    </font>
    <font>
      <sz val="10"/>
      <color rgb="FF000000"/>
      <name val="Calibri"/>
      <family val="2"/>
      <charset val="204"/>
    </font>
    <font>
      <sz val="8"/>
      <color rgb="FFFF0000"/>
      <name val="Calibri"/>
      <family val="2"/>
      <charset val="204"/>
    </font>
  </fonts>
  <fills count="10">
    <fill>
      <patternFill patternType="none"/>
    </fill>
    <fill>
      <patternFill patternType="gray125"/>
    </fill>
    <fill>
      <patternFill patternType="solid">
        <fgColor theme="0"/>
        <bgColor indexed="64"/>
      </patternFill>
    </fill>
    <fill>
      <patternFill patternType="solid">
        <fgColor theme="6" tint="0.59999389629810485"/>
        <bgColor indexed="64"/>
      </patternFill>
    </fill>
    <fill>
      <patternFill patternType="solid">
        <fgColor rgb="FFFFFFFF"/>
        <bgColor indexed="64"/>
      </patternFill>
    </fill>
    <fill>
      <patternFill patternType="solid">
        <fgColor theme="0" tint="-0.14999847407452621"/>
        <bgColor indexed="64"/>
      </patternFill>
    </fill>
    <fill>
      <patternFill patternType="solid">
        <fgColor theme="6" tint="0.79998168889431442"/>
        <bgColor indexed="64"/>
      </patternFill>
    </fill>
    <fill>
      <patternFill patternType="solid">
        <fgColor rgb="FFFFFF00"/>
        <bgColor indexed="64"/>
      </patternFill>
    </fill>
    <fill>
      <patternFill patternType="solid">
        <fgColor theme="0" tint="-0.249977111117893"/>
        <bgColor indexed="64"/>
      </patternFill>
    </fill>
    <fill>
      <patternFill patternType="solid">
        <fgColor rgb="FFFFC000"/>
        <bgColor indexed="64"/>
      </patternFill>
    </fill>
  </fills>
  <borders count="6">
    <border>
      <left/>
      <right/>
      <top/>
      <bottom/>
      <diagonal/>
    </border>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s>
  <cellStyleXfs count="27">
    <xf numFmtId="0" fontId="0" fillId="0" borderId="0"/>
    <xf numFmtId="0" fontId="7" fillId="0" borderId="1"/>
    <xf numFmtId="0" fontId="8" fillId="0" borderId="1"/>
    <xf numFmtId="0" fontId="8" fillId="0" borderId="1"/>
    <xf numFmtId="0" fontId="8" fillId="0" borderId="1"/>
    <xf numFmtId="0" fontId="8" fillId="0" borderId="1"/>
    <xf numFmtId="0" fontId="8" fillId="0" borderId="1"/>
    <xf numFmtId="0" fontId="8" fillId="0" borderId="1"/>
    <xf numFmtId="0" fontId="8" fillId="0" borderId="1"/>
    <xf numFmtId="0" fontId="3" fillId="0" borderId="1"/>
    <xf numFmtId="0" fontId="9" fillId="0" borderId="1"/>
    <xf numFmtId="0" fontId="3" fillId="0" borderId="1"/>
    <xf numFmtId="0" fontId="7" fillId="0" borderId="1"/>
    <xf numFmtId="0" fontId="7" fillId="0" borderId="1"/>
    <xf numFmtId="0" fontId="10" fillId="0" borderId="1"/>
    <xf numFmtId="0" fontId="2" fillId="0" borderId="1"/>
    <xf numFmtId="0" fontId="11" fillId="0" borderId="0" applyNumberFormat="0" applyFill="0" applyBorder="0" applyAlignment="0" applyProtection="0"/>
    <xf numFmtId="0" fontId="7" fillId="0" borderId="1"/>
    <xf numFmtId="0" fontId="7" fillId="0" borderId="1"/>
    <xf numFmtId="0" fontId="7" fillId="0" borderId="1"/>
    <xf numFmtId="0" fontId="7" fillId="0" borderId="1"/>
    <xf numFmtId="0" fontId="7" fillId="0" borderId="1"/>
    <xf numFmtId="0" fontId="1" fillId="0" borderId="1"/>
    <xf numFmtId="0" fontId="1" fillId="0" borderId="1"/>
    <xf numFmtId="0" fontId="7" fillId="0" borderId="1"/>
    <xf numFmtId="0" fontId="1" fillId="0" borderId="1"/>
    <xf numFmtId="0" fontId="11" fillId="0" borderId="1" applyNumberFormat="0" applyFill="0" applyBorder="0" applyAlignment="0" applyProtection="0"/>
  </cellStyleXfs>
  <cellXfs count="117">
    <xf numFmtId="0" fontId="0" fillId="0" borderId="0" xfId="0" applyFont="1" applyAlignment="1"/>
    <xf numFmtId="0" fontId="0" fillId="0" borderId="0" xfId="0" applyFont="1" applyAlignment="1"/>
    <xf numFmtId="1" fontId="12" fillId="0" borderId="2" xfId="0" applyNumberFormat="1" applyFont="1" applyBorder="1" applyAlignment="1">
      <alignment horizontal="left" vertical="center"/>
    </xf>
    <xf numFmtId="0" fontId="0" fillId="0" borderId="0" xfId="0" applyFont="1" applyAlignment="1"/>
    <xf numFmtId="1" fontId="12" fillId="2" borderId="2" xfId="0" applyNumberFormat="1" applyFont="1" applyFill="1" applyBorder="1" applyAlignment="1">
      <alignment horizontal="left" vertical="center"/>
    </xf>
    <xf numFmtId="0" fontId="12" fillId="2" borderId="2" xfId="0" applyFont="1" applyFill="1" applyBorder="1" applyAlignment="1">
      <alignment horizontal="left"/>
    </xf>
    <xf numFmtId="0" fontId="12" fillId="2" borderId="2" xfId="0" applyFont="1" applyFill="1" applyBorder="1" applyAlignment="1">
      <alignment horizontal="left" vertical="center"/>
    </xf>
    <xf numFmtId="0" fontId="14" fillId="3" borderId="2" xfId="0" applyFont="1" applyFill="1" applyBorder="1" applyAlignment="1">
      <alignment horizontal="left" vertical="center" wrapText="1"/>
    </xf>
    <xf numFmtId="0" fontId="15" fillId="0" borderId="2" xfId="0" applyFont="1" applyBorder="1" applyAlignment="1">
      <alignment horizontal="left" vertical="center" wrapText="1"/>
    </xf>
    <xf numFmtId="0" fontId="16" fillId="0" borderId="2" xfId="0" applyFont="1" applyBorder="1" applyAlignment="1">
      <alignment horizontal="left" vertical="center" wrapText="1"/>
    </xf>
    <xf numFmtId="0" fontId="12" fillId="0" borderId="2" xfId="0" applyFont="1" applyBorder="1" applyAlignment="1"/>
    <xf numFmtId="17" fontId="5" fillId="0" borderId="2" xfId="0" applyNumberFormat="1" applyFont="1" applyBorder="1" applyAlignment="1">
      <alignment horizontal="left" vertical="center"/>
    </xf>
    <xf numFmtId="0" fontId="0" fillId="0" borderId="0" xfId="0" applyFont="1" applyAlignment="1"/>
    <xf numFmtId="0" fontId="17" fillId="0" borderId="2" xfId="0" applyFont="1" applyBorder="1" applyAlignment="1">
      <alignment vertical="center" wrapText="1"/>
    </xf>
    <xf numFmtId="1" fontId="19" fillId="2" borderId="2" xfId="0" applyNumberFormat="1" applyFont="1" applyFill="1" applyBorder="1" applyAlignment="1">
      <alignment horizontal="left" vertical="center"/>
    </xf>
    <xf numFmtId="0" fontId="0" fillId="0" borderId="0" xfId="0" applyFont="1" applyAlignment="1"/>
    <xf numFmtId="0" fontId="12" fillId="2" borderId="1" xfId="0" applyFont="1" applyFill="1" applyBorder="1" applyAlignment="1">
      <alignment horizontal="left"/>
    </xf>
    <xf numFmtId="0" fontId="0" fillId="2" borderId="1" xfId="0" applyFont="1" applyFill="1" applyBorder="1" applyAlignment="1"/>
    <xf numFmtId="0" fontId="7" fillId="0" borderId="0" xfId="0" applyFont="1" applyAlignment="1"/>
    <xf numFmtId="0" fontId="0" fillId="0" borderId="0" xfId="0" applyFont="1" applyAlignment="1"/>
    <xf numFmtId="0" fontId="12" fillId="0" borderId="2" xfId="0" applyFont="1" applyFill="1" applyBorder="1" applyAlignment="1">
      <alignment horizontal="left" vertical="center"/>
    </xf>
    <xf numFmtId="0" fontId="0" fillId="0" borderId="0" xfId="0" applyFont="1" applyAlignment="1"/>
    <xf numFmtId="0" fontId="18" fillId="0" borderId="2" xfId="0" quotePrefix="1" applyFont="1" applyBorder="1" applyAlignment="1">
      <alignment vertical="center" wrapText="1"/>
    </xf>
    <xf numFmtId="0" fontId="0" fillId="0" borderId="0" xfId="0" applyFont="1" applyAlignment="1"/>
    <xf numFmtId="0" fontId="15" fillId="0" borderId="3" xfId="0" applyFont="1" applyBorder="1" applyAlignment="1">
      <alignment horizontal="left" vertical="center" wrapText="1"/>
    </xf>
    <xf numFmtId="0" fontId="15" fillId="0" borderId="4" xfId="0" applyFont="1" applyBorder="1" applyAlignment="1">
      <alignment horizontal="left" vertical="center" wrapText="1"/>
    </xf>
    <xf numFmtId="1" fontId="12" fillId="0" borderId="4" xfId="0" applyNumberFormat="1" applyFont="1" applyBorder="1" applyAlignment="1">
      <alignment horizontal="left" vertical="center"/>
    </xf>
    <xf numFmtId="1" fontId="19" fillId="2" borderId="5" xfId="0" applyNumberFormat="1" applyFont="1" applyFill="1" applyBorder="1" applyAlignment="1">
      <alignment horizontal="left" vertical="center"/>
    </xf>
    <xf numFmtId="0" fontId="18" fillId="0" borderId="1" xfId="0" quotePrefix="1" applyFont="1" applyBorder="1" applyAlignment="1">
      <alignment vertical="center" wrapText="1"/>
    </xf>
    <xf numFmtId="164" fontId="12" fillId="0" borderId="2" xfId="0" applyNumberFormat="1" applyFont="1" applyFill="1" applyBorder="1" applyAlignment="1">
      <alignment horizontal="left" vertical="center"/>
    </xf>
    <xf numFmtId="164" fontId="12" fillId="2" borderId="2" xfId="0" applyNumberFormat="1" applyFont="1" applyFill="1" applyBorder="1" applyAlignment="1">
      <alignment horizontal="left" vertical="center"/>
    </xf>
    <xf numFmtId="0" fontId="0" fillId="0" borderId="0" xfId="0" applyFont="1" applyAlignment="1"/>
    <xf numFmtId="0" fontId="21" fillId="0" borderId="2" xfId="16" applyFont="1" applyBorder="1" applyAlignment="1"/>
    <xf numFmtId="0" fontId="0" fillId="0" borderId="0" xfId="0" applyFont="1" applyAlignment="1"/>
    <xf numFmtId="1" fontId="12" fillId="0" borderId="2" xfId="0" applyNumberFormat="1" applyFont="1" applyFill="1" applyBorder="1" applyAlignment="1">
      <alignment horizontal="left"/>
    </xf>
    <xf numFmtId="0" fontId="11" fillId="0" borderId="2" xfId="16" applyBorder="1" applyAlignment="1">
      <alignment vertical="center" wrapText="1"/>
    </xf>
    <xf numFmtId="0" fontId="11" fillId="4" borderId="0" xfId="16" applyFont="1" applyFill="1" applyAlignment="1">
      <alignment horizontal="center" vertical="center" wrapText="1"/>
    </xf>
    <xf numFmtId="0" fontId="0" fillId="0" borderId="0" xfId="0" applyFont="1" applyAlignment="1"/>
    <xf numFmtId="0" fontId="0" fillId="0" borderId="0" xfId="0" applyFont="1" applyAlignment="1"/>
    <xf numFmtId="1" fontId="12" fillId="0" borderId="2" xfId="1" applyNumberFormat="1" applyFont="1" applyBorder="1" applyAlignment="1">
      <alignment horizontal="left" vertical="center"/>
    </xf>
    <xf numFmtId="0" fontId="15" fillId="0" borderId="2" xfId="1" applyFont="1" applyBorder="1" applyAlignment="1">
      <alignment horizontal="left" vertical="center" wrapText="1"/>
    </xf>
    <xf numFmtId="0" fontId="16" fillId="0" borderId="2" xfId="1" applyFont="1" applyBorder="1" applyAlignment="1">
      <alignment horizontal="left" vertical="center" wrapText="1"/>
    </xf>
    <xf numFmtId="0" fontId="18" fillId="0" borderId="2" xfId="1" quotePrefix="1" applyFont="1" applyBorder="1" applyAlignment="1">
      <alignment wrapText="1"/>
    </xf>
    <xf numFmtId="1" fontId="12" fillId="0" borderId="2" xfId="1" applyNumberFormat="1" applyFont="1" applyFill="1" applyBorder="1" applyAlignment="1">
      <alignment horizontal="left" vertical="center"/>
    </xf>
    <xf numFmtId="0" fontId="0" fillId="0" borderId="0" xfId="0" applyFont="1" applyAlignment="1"/>
    <xf numFmtId="0" fontId="7" fillId="0" borderId="2" xfId="0" applyFont="1" applyBorder="1" applyAlignment="1"/>
    <xf numFmtId="1" fontId="20" fillId="5" borderId="2" xfId="0" applyNumberFormat="1" applyFont="1" applyFill="1" applyBorder="1" applyAlignment="1">
      <alignment horizontal="left" vertical="center"/>
    </xf>
    <xf numFmtId="2" fontId="12" fillId="5" borderId="2" xfId="0" applyNumberFormat="1" applyFont="1" applyFill="1" applyBorder="1" applyAlignment="1">
      <alignment horizontal="left"/>
    </xf>
    <xf numFmtId="0" fontId="7" fillId="0" borderId="2" xfId="0" applyFont="1" applyBorder="1" applyAlignment="1">
      <alignment wrapText="1"/>
    </xf>
    <xf numFmtId="0" fontId="0" fillId="5" borderId="2" xfId="0" applyFont="1" applyFill="1" applyBorder="1" applyAlignment="1">
      <alignment horizontal="left"/>
    </xf>
    <xf numFmtId="0" fontId="18" fillId="0" borderId="2" xfId="1" quotePrefix="1" applyFont="1" applyBorder="1" applyAlignment="1">
      <alignment vertical="center" wrapText="1"/>
    </xf>
    <xf numFmtId="2" fontId="12" fillId="6" borderId="2" xfId="0" applyNumberFormat="1" applyFont="1" applyFill="1" applyBorder="1" applyAlignment="1">
      <alignment horizontal="left"/>
    </xf>
    <xf numFmtId="0" fontId="0" fillId="0" borderId="0" xfId="0" applyFont="1" applyAlignment="1"/>
    <xf numFmtId="0" fontId="0" fillId="0" borderId="0" xfId="0" applyFont="1" applyAlignment="1">
      <alignment horizontal="left"/>
    </xf>
    <xf numFmtId="0" fontId="7" fillId="5" borderId="2" xfId="0" applyFont="1" applyFill="1" applyBorder="1" applyAlignment="1">
      <alignment horizontal="left"/>
    </xf>
    <xf numFmtId="2" fontId="7" fillId="3" borderId="2" xfId="0" applyNumberFormat="1" applyFont="1" applyFill="1" applyBorder="1" applyAlignment="1">
      <alignment horizontal="left"/>
    </xf>
    <xf numFmtId="2" fontId="7" fillId="5" borderId="2" xfId="0" applyNumberFormat="1" applyFont="1" applyFill="1" applyBorder="1" applyAlignment="1">
      <alignment horizontal="left"/>
    </xf>
    <xf numFmtId="0" fontId="11" fillId="0" borderId="1" xfId="16" applyBorder="1" applyAlignment="1">
      <alignment vertical="center" wrapText="1"/>
    </xf>
    <xf numFmtId="2" fontId="0" fillId="0" borderId="2" xfId="0" applyNumberFormat="1" applyFont="1" applyBorder="1" applyAlignment="1">
      <alignment horizontal="left"/>
    </xf>
    <xf numFmtId="0" fontId="7" fillId="0" borderId="2" xfId="0" applyFont="1" applyBorder="1" applyAlignment="1">
      <alignment horizontal="left"/>
    </xf>
    <xf numFmtId="0" fontId="0" fillId="3" borderId="2" xfId="0" applyFont="1" applyFill="1" applyBorder="1" applyAlignment="1">
      <alignment horizontal="left"/>
    </xf>
    <xf numFmtId="0" fontId="22" fillId="3" borderId="2" xfId="0" applyFont="1" applyFill="1" applyBorder="1" applyAlignment="1">
      <alignment horizontal="left" vertical="center" wrapText="1"/>
    </xf>
    <xf numFmtId="2" fontId="22" fillId="5" borderId="2" xfId="0" applyNumberFormat="1" applyFont="1" applyFill="1" applyBorder="1" applyAlignment="1">
      <alignment horizontal="left" vertical="center" wrapText="1"/>
    </xf>
    <xf numFmtId="0" fontId="0" fillId="0" borderId="1" xfId="0" applyFont="1" applyBorder="1" applyAlignment="1"/>
    <xf numFmtId="0" fontId="0" fillId="0" borderId="2" xfId="0" applyFont="1" applyBorder="1" applyAlignment="1"/>
    <xf numFmtId="2" fontId="7" fillId="5" borderId="2" xfId="0" applyNumberFormat="1" applyFont="1" applyFill="1" applyBorder="1" applyAlignment="1">
      <alignment horizontal="left" vertical="center"/>
    </xf>
    <xf numFmtId="1" fontId="23" fillId="2" borderId="2" xfId="0" applyNumberFormat="1" applyFont="1" applyFill="1" applyBorder="1" applyAlignment="1">
      <alignment horizontal="left" vertical="center"/>
    </xf>
    <xf numFmtId="164" fontId="12" fillId="5" borderId="2" xfId="0" applyNumberFormat="1" applyFont="1" applyFill="1" applyBorder="1" applyAlignment="1">
      <alignment horizontal="left" vertical="center"/>
    </xf>
    <xf numFmtId="2" fontId="0" fillId="3" borderId="2" xfId="0" applyNumberFormat="1" applyFont="1" applyFill="1" applyBorder="1" applyAlignment="1">
      <alignment horizontal="left" vertical="center"/>
    </xf>
    <xf numFmtId="0" fontId="0" fillId="3" borderId="2" xfId="0" applyFont="1" applyFill="1" applyBorder="1" applyAlignment="1">
      <alignment horizontal="left" vertical="center"/>
    </xf>
    <xf numFmtId="2" fontId="0" fillId="5" borderId="2" xfId="0" applyNumberFormat="1" applyFont="1" applyFill="1" applyBorder="1" applyAlignment="1">
      <alignment horizontal="left" vertical="center"/>
    </xf>
    <xf numFmtId="2" fontId="0" fillId="5" borderId="2" xfId="0" applyNumberFormat="1" applyFont="1" applyFill="1" applyBorder="1" applyAlignment="1">
      <alignment horizontal="left"/>
    </xf>
    <xf numFmtId="0" fontId="0" fillId="0" borderId="0" xfId="0" applyFont="1" applyAlignment="1"/>
    <xf numFmtId="1" fontId="12" fillId="2" borderId="2" xfId="0" applyNumberFormat="1" applyFont="1" applyFill="1" applyBorder="1" applyAlignment="1">
      <alignment horizontal="left"/>
    </xf>
    <xf numFmtId="0" fontId="12" fillId="0" borderId="2" xfId="0" applyFont="1" applyBorder="1" applyAlignment="1">
      <alignment wrapText="1"/>
    </xf>
    <xf numFmtId="0" fontId="0" fillId="0" borderId="2" xfId="0" applyFont="1" applyFill="1" applyBorder="1" applyAlignment="1">
      <alignment horizontal="left"/>
    </xf>
    <xf numFmtId="0" fontId="0" fillId="0" borderId="2" xfId="0" applyFont="1" applyBorder="1" applyAlignment="1">
      <alignment horizontal="left"/>
    </xf>
    <xf numFmtId="0" fontId="0" fillId="7" borderId="2" xfId="0" applyFont="1" applyFill="1" applyBorder="1" applyAlignment="1">
      <alignment horizontal="left"/>
    </xf>
    <xf numFmtId="2" fontId="12" fillId="7" borderId="2" xfId="0" applyNumberFormat="1" applyFont="1" applyFill="1" applyBorder="1" applyAlignment="1">
      <alignment horizontal="left"/>
    </xf>
    <xf numFmtId="0" fontId="12" fillId="7" borderId="2" xfId="0" applyNumberFormat="1" applyFont="1" applyFill="1" applyBorder="1" applyAlignment="1">
      <alignment horizontal="left" wrapText="1"/>
    </xf>
    <xf numFmtId="0" fontId="7" fillId="0" borderId="0" xfId="0" applyFont="1" applyAlignment="1">
      <alignment wrapText="1"/>
    </xf>
    <xf numFmtId="0" fontId="12" fillId="0" borderId="5" xfId="0" applyFont="1" applyBorder="1" applyAlignment="1">
      <alignment wrapText="1"/>
    </xf>
    <xf numFmtId="0" fontId="20" fillId="0" borderId="2" xfId="0" applyFont="1" applyBorder="1" applyAlignment="1">
      <alignment wrapText="1"/>
    </xf>
    <xf numFmtId="0" fontId="20" fillId="0" borderId="2" xfId="0" applyFont="1" applyBorder="1" applyAlignment="1"/>
    <xf numFmtId="0" fontId="7" fillId="0" borderId="0" xfId="0" applyFont="1" applyAlignment="1">
      <alignment horizontal="left"/>
    </xf>
    <xf numFmtId="0" fontId="4" fillId="5" borderId="2" xfId="0" applyFont="1" applyFill="1" applyBorder="1" applyAlignment="1">
      <alignment horizontal="left"/>
    </xf>
    <xf numFmtId="0" fontId="0" fillId="9" borderId="5" xfId="0" applyFont="1" applyFill="1" applyBorder="1" applyAlignment="1">
      <alignment horizontal="left"/>
    </xf>
    <xf numFmtId="0" fontId="11" fillId="0" borderId="0" xfId="16" applyAlignment="1"/>
    <xf numFmtId="2" fontId="0" fillId="0" borderId="2" xfId="0" applyNumberFormat="1" applyFont="1" applyBorder="1" applyAlignment="1"/>
    <xf numFmtId="0" fontId="18" fillId="0" borderId="2" xfId="0" quotePrefix="1" applyFont="1" applyBorder="1" applyAlignment="1">
      <alignment horizontal="left" vertical="center" wrapText="1"/>
    </xf>
    <xf numFmtId="0" fontId="0" fillId="0" borderId="2" xfId="0" applyFont="1" applyBorder="1" applyAlignment="1">
      <alignment horizontal="center"/>
    </xf>
    <xf numFmtId="0" fontId="0" fillId="3" borderId="3" xfId="0" applyFont="1" applyFill="1" applyBorder="1" applyAlignment="1">
      <alignment horizontal="left"/>
    </xf>
    <xf numFmtId="0" fontId="20" fillId="0" borderId="2" xfId="0" applyFont="1" applyBorder="1" applyAlignment="1">
      <alignment horizontal="left" vertical="center"/>
    </xf>
    <xf numFmtId="0" fontId="7" fillId="0" borderId="2" xfId="0" applyFont="1" applyBorder="1" applyAlignment="1">
      <alignment horizontal="left" vertical="center"/>
    </xf>
    <xf numFmtId="0" fontId="0" fillId="0" borderId="0" xfId="0" applyFont="1" applyAlignment="1">
      <alignment horizontal="left" vertical="center"/>
    </xf>
    <xf numFmtId="0" fontId="0" fillId="0" borderId="1" xfId="0" applyFont="1" applyBorder="1" applyAlignment="1">
      <alignment horizontal="left" vertical="center"/>
    </xf>
    <xf numFmtId="0" fontId="0" fillId="5" borderId="2" xfId="0" applyFont="1" applyFill="1" applyBorder="1" applyAlignment="1">
      <alignment horizontal="left" vertical="center"/>
    </xf>
    <xf numFmtId="17" fontId="24" fillId="0" borderId="2" xfId="0" applyNumberFormat="1" applyFont="1" applyBorder="1" applyAlignment="1">
      <alignment horizontal="left" vertical="center" wrapText="1"/>
    </xf>
    <xf numFmtId="17" fontId="24" fillId="0" borderId="2" xfId="0" applyNumberFormat="1" applyFont="1" applyBorder="1" applyAlignment="1">
      <alignment horizontal="left" vertical="center"/>
    </xf>
    <xf numFmtId="0" fontId="24" fillId="0" borderId="2" xfId="0" applyFont="1" applyBorder="1" applyAlignment="1">
      <alignment vertical="center" wrapText="1"/>
    </xf>
    <xf numFmtId="0" fontId="14" fillId="0" borderId="3" xfId="0" applyFont="1" applyBorder="1" applyAlignment="1">
      <alignment horizontal="left" vertical="center" wrapText="1"/>
    </xf>
    <xf numFmtId="0" fontId="20" fillId="0" borderId="2" xfId="0" applyFont="1" applyBorder="1" applyAlignment="1">
      <alignment horizontal="left"/>
    </xf>
    <xf numFmtId="0" fontId="12" fillId="0" borderId="2" xfId="0" applyFont="1" applyBorder="1" applyAlignment="1">
      <alignment horizontal="left" wrapText="1"/>
    </xf>
    <xf numFmtId="0" fontId="13" fillId="6" borderId="2" xfId="0" applyFont="1" applyFill="1" applyBorder="1" applyAlignment="1">
      <alignment horizontal="left" wrapText="1"/>
    </xf>
    <xf numFmtId="0" fontId="5" fillId="0" borderId="2" xfId="0" applyFont="1" applyBorder="1" applyAlignment="1">
      <alignment horizontal="left"/>
    </xf>
    <xf numFmtId="0" fontId="25" fillId="0" borderId="2" xfId="0" applyFont="1" applyBorder="1" applyAlignment="1"/>
    <xf numFmtId="0" fontId="25" fillId="0" borderId="2" xfId="0" applyFont="1" applyBorder="1" applyAlignment="1">
      <alignment wrapText="1"/>
    </xf>
    <xf numFmtId="0" fontId="25" fillId="0" borderId="0" xfId="0" applyFont="1" applyAlignment="1"/>
    <xf numFmtId="0" fontId="0" fillId="0" borderId="2" xfId="0" applyFont="1" applyBorder="1" applyAlignment="1">
      <alignment horizontal="left" vertical="center"/>
    </xf>
    <xf numFmtId="0" fontId="0" fillId="0" borderId="2" xfId="0" applyFont="1" applyFill="1" applyBorder="1" applyAlignment="1">
      <alignment horizontal="left" vertical="center"/>
    </xf>
    <xf numFmtId="0" fontId="0" fillId="0" borderId="0" xfId="0" applyFont="1" applyAlignment="1">
      <alignment vertical="center"/>
    </xf>
    <xf numFmtId="0" fontId="0" fillId="0" borderId="0" xfId="0" applyFont="1" applyAlignment="1"/>
    <xf numFmtId="0" fontId="18" fillId="5" borderId="2" xfId="0" quotePrefix="1" applyFont="1" applyFill="1" applyBorder="1" applyAlignment="1">
      <alignment vertical="center" wrapText="1"/>
    </xf>
    <xf numFmtId="0" fontId="18" fillId="5" borderId="2" xfId="0" quotePrefix="1" applyFont="1" applyFill="1" applyBorder="1" applyAlignment="1">
      <alignment horizontal="left" vertical="center" wrapText="1"/>
    </xf>
    <xf numFmtId="0" fontId="6" fillId="0" borderId="0" xfId="0" quotePrefix="1" applyFont="1" applyAlignment="1"/>
    <xf numFmtId="2" fontId="0" fillId="8" borderId="2" xfId="0" applyNumberFormat="1" applyFont="1" applyFill="1" applyBorder="1" applyAlignment="1">
      <alignment horizontal="center" vertical="center"/>
    </xf>
    <xf numFmtId="0" fontId="0" fillId="0" borderId="0" xfId="0"/>
  </cellXfs>
  <cellStyles count="27">
    <cellStyle name="Гиперссылка" xfId="16" builtinId="8"/>
    <cellStyle name="Гиперссылка 2" xfId="26"/>
    <cellStyle name="Обычный" xfId="0" builtinId="0"/>
    <cellStyle name="Обычный 10" xfId="9"/>
    <cellStyle name="Обычный 10 2" xfId="22"/>
    <cellStyle name="Обычный 11" xfId="14"/>
    <cellStyle name="Обычный 11 2" xfId="24"/>
    <cellStyle name="Обычный 2" xfId="1"/>
    <cellStyle name="Обычный 2 2" xfId="10"/>
    <cellStyle name="Обычный 25" xfId="15"/>
    <cellStyle name="Обычный 25 2" xfId="25"/>
    <cellStyle name="Обычный 3" xfId="2"/>
    <cellStyle name="Обычный 3 2" xfId="12"/>
    <cellStyle name="Обычный 4" xfId="3"/>
    <cellStyle name="Обычный 4 2" xfId="17"/>
    <cellStyle name="Обычный 5" xfId="4"/>
    <cellStyle name="Обычный 5 2" xfId="11"/>
    <cellStyle name="Обычный 5 2 2" xfId="23"/>
    <cellStyle name="Обычный 5 3" xfId="18"/>
    <cellStyle name="Обычный 6" xfId="5"/>
    <cellStyle name="Обычный 6 2" xfId="19"/>
    <cellStyle name="Обычный 7" xfId="6"/>
    <cellStyle name="Обычный 7 2" xfId="13"/>
    <cellStyle name="Обычный 8" xfId="7"/>
    <cellStyle name="Обычный 8 2" xfId="20"/>
    <cellStyle name="Обычный 9" xfId="8"/>
    <cellStyle name="Обычный 9 2" xfId="21"/>
  </cellStyles>
  <dxfs count="6">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s>
  <tableStyles count="0" defaultTableStyle="TableStyleMedium2" defaultPivotStyle="PivotStyleLight16"/>
  <colors>
    <mruColors>
      <color rgb="FFFFFFCC"/>
      <color rgb="FFD6A300"/>
      <color rgb="FFFFCE33"/>
      <color rgb="FFFFDF7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Тема Office">
  <a:themeElements>
    <a:clrScheme name="Стандартная">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Стандартная">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Стандартная">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hyperlink" Target="https://docs.google.com/spreadsheets/d/1mUoVyqMvLxNkew3nU1ZeJ1OjpYy3j-FOVDpqwsZ9BPU/edit?gid=188003400" TargetMode="External"/><Relationship Id="rId2" Type="http://schemas.openxmlformats.org/officeDocument/2006/relationships/hyperlink" Target="file:///\\Fserv\e\MERA\WORKS\&#1044;&#1057;&#1048;\&#1056;&#1057;&#1057;\3.%20&#1044;&#1086;&#1082;&#1091;&#1084;&#1077;&#1085;&#1090;&#1099;\&#1082;&#1086;&#1084;&#1072;&#1085;&#1076;&#1080;&#1088;&#1086;&#1074;&#1082;&#1080;\&#1044;&#1057;&#1048;%20&#1056;&#1057;&#1057;%20&#1082;&#1086;&#1084;&#1072;&#1085;&#1076;&#1080;&#1088;&#1086;&#1074;&#1082;&#1080;%202023_v01.xlsx" TargetMode="External"/><Relationship Id="rId1" Type="http://schemas.openxmlformats.org/officeDocument/2006/relationships/hyperlink" Target="https://docs.google.com/spreadsheets/d/18XCIz284AiXV3BK8IqT2FrDMLEvGiTInjZj7ykpUHaE/edit?gid=316769203" TargetMode="External"/><Relationship Id="rId4"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3">
    <pageSetUpPr fitToPage="1"/>
  </sheetPr>
  <dimension ref="A1:O38"/>
  <sheetViews>
    <sheetView tabSelected="1" topLeftCell="C1" zoomScale="115" zoomScaleNormal="115" workbookViewId="0">
      <selection activeCell="L2" sqref="L2"/>
    </sheetView>
  </sheetViews>
  <sheetFormatPr defaultRowHeight="15" x14ac:dyDescent="0.25"/>
  <cols>
    <col min="1" max="1" width="2.140625" customWidth="1"/>
    <col min="2" max="2" width="14.42578125" customWidth="1"/>
    <col min="3" max="3" width="8.7109375" customWidth="1"/>
    <col min="4" max="4" width="13.85546875" customWidth="1"/>
    <col min="5" max="5" width="9.28515625" customWidth="1"/>
    <col min="6" max="6" width="10.5703125" customWidth="1"/>
    <col min="7" max="7" width="51.85546875" customWidth="1"/>
    <col min="8" max="8" width="9.28515625" customWidth="1"/>
    <col min="9" max="9" width="8" customWidth="1"/>
    <col min="10" max="10" width="13.28515625" customWidth="1"/>
    <col min="11" max="11" width="7.7109375" customWidth="1"/>
    <col min="12" max="12" width="17.5703125" customWidth="1"/>
  </cols>
  <sheetData>
    <row r="1" spans="2:14" s="31" customFormat="1" x14ac:dyDescent="0.25">
      <c r="G1" s="87" t="s">
        <v>80</v>
      </c>
      <c r="L1" s="31" t="str">
        <f ca="1">CELL("имяфайла")</f>
        <v>E:\mera\РСС\zp\2026\05\[ДСИ РСС май 2026_v01.xlsx]Итог</v>
      </c>
    </row>
    <row r="2" spans="2:14" s="12" customFormat="1" x14ac:dyDescent="0.25">
      <c r="G2" s="32" t="s">
        <v>29</v>
      </c>
      <c r="H2" s="84">
        <f>1000/1000000</f>
        <v>1E-3</v>
      </c>
    </row>
    <row r="3" spans="2:14" s="1" customFormat="1" ht="22.15" customHeight="1" x14ac:dyDescent="0.25">
      <c r="B3" s="11">
        <v>46082</v>
      </c>
      <c r="C3" s="13" t="s">
        <v>0</v>
      </c>
      <c r="G3" s="35" t="s">
        <v>18</v>
      </c>
    </row>
    <row r="4" spans="2:14" s="52" customFormat="1" ht="44.45" customHeight="1" x14ac:dyDescent="0.25">
      <c r="B4" s="97" t="s">
        <v>57</v>
      </c>
      <c r="C4" s="61">
        <v>285</v>
      </c>
      <c r="D4" s="81" t="s">
        <v>75</v>
      </c>
      <c r="E4" s="68">
        <f>100/3</f>
        <v>33.333333333333336</v>
      </c>
      <c r="G4" s="57"/>
      <c r="H4" s="59" t="s">
        <v>63</v>
      </c>
      <c r="I4" s="60">
        <v>2</v>
      </c>
      <c r="J4" s="48" t="s">
        <v>56</v>
      </c>
      <c r="K4" s="56">
        <f>E4</f>
        <v>33.333333333333336</v>
      </c>
      <c r="L4" s="53"/>
      <c r="M4"/>
    </row>
    <row r="5" spans="2:14" s="52" customFormat="1" ht="43.9" customHeight="1" x14ac:dyDescent="0.25">
      <c r="B5" s="98" t="s">
        <v>58</v>
      </c>
      <c r="C5" s="61">
        <v>8</v>
      </c>
      <c r="D5" s="82" t="s">
        <v>69</v>
      </c>
      <c r="E5" s="69">
        <v>0.85</v>
      </c>
      <c r="G5" s="57"/>
      <c r="I5" s="63"/>
      <c r="J5" s="45" t="s">
        <v>55</v>
      </c>
      <c r="K5" s="56">
        <f>Оборот/K7</f>
        <v>20.357142857142858</v>
      </c>
      <c r="L5" s="106" t="s">
        <v>65</v>
      </c>
      <c r="M5" s="56">
        <f>IF(K6/K8&gt;1,1,K6/K8)</f>
        <v>0.85499999999999987</v>
      </c>
    </row>
    <row r="6" spans="2:14" s="52" customFormat="1" ht="46.15" customHeight="1" x14ac:dyDescent="0.25">
      <c r="B6" s="98" t="s">
        <v>59</v>
      </c>
      <c r="C6" s="62">
        <f>Оборот*C5/(100*12)</f>
        <v>1.9</v>
      </c>
      <c r="D6" s="83" t="s">
        <v>60</v>
      </c>
      <c r="E6" s="70">
        <f>C6*E5</f>
        <v>1.615</v>
      </c>
      <c r="F6" s="45" t="s">
        <v>61</v>
      </c>
      <c r="G6" s="65">
        <f>C6-E6</f>
        <v>0.28499999999999992</v>
      </c>
      <c r="H6" s="74" t="s">
        <v>62</v>
      </c>
      <c r="I6" s="91">
        <v>2000</v>
      </c>
      <c r="J6" s="45" t="s">
        <v>66</v>
      </c>
      <c r="K6" s="49">
        <f>Оборот/K4</f>
        <v>8.5499999999999989</v>
      </c>
      <c r="L6" s="106" t="s">
        <v>48</v>
      </c>
    </row>
    <row r="7" spans="2:14" ht="48.6" customHeight="1" x14ac:dyDescent="0.25">
      <c r="B7" s="99" t="s">
        <v>70</v>
      </c>
      <c r="C7" s="70">
        <f>(1-$E$5)*EXP(-Оборот*(1/$I$6))</f>
        <v>0.13007813314383826</v>
      </c>
      <c r="D7" s="92" t="s">
        <v>64</v>
      </c>
      <c r="E7" s="65">
        <f>C6*C7</f>
        <v>0.24714845297329269</v>
      </c>
      <c r="F7" s="93" t="s">
        <v>71</v>
      </c>
      <c r="G7" s="70">
        <f>E7*1000/Оборот</f>
        <v>0.86718755429225503</v>
      </c>
      <c r="H7" s="94"/>
      <c r="I7" s="95"/>
      <c r="J7" s="93" t="s">
        <v>67</v>
      </c>
      <c r="K7" s="96">
        <f>N_факт</f>
        <v>14</v>
      </c>
      <c r="L7" s="94"/>
    </row>
    <row r="8" spans="2:14" s="52" customFormat="1" ht="32.450000000000003" customHeight="1" x14ac:dyDescent="0.25">
      <c r="B8" s="48"/>
      <c r="C8" s="58"/>
      <c r="D8" s="45"/>
      <c r="E8" s="64"/>
      <c r="G8" s="71">
        <f>G7*12</f>
        <v>10.40625065150706</v>
      </c>
      <c r="J8" s="45" t="s">
        <v>68</v>
      </c>
      <c r="K8" s="49">
        <f>N_факт-SUM(F34:F36)</f>
        <v>10</v>
      </c>
      <c r="L8" s="55">
        <v>1</v>
      </c>
      <c r="M8" s="72"/>
      <c r="N8" s="72"/>
    </row>
    <row r="9" spans="2:14" ht="21.6" customHeight="1" x14ac:dyDescent="0.25">
      <c r="B9" s="7" t="s">
        <v>1</v>
      </c>
      <c r="C9" s="7" t="s">
        <v>5</v>
      </c>
      <c r="D9" s="7" t="s">
        <v>35</v>
      </c>
      <c r="E9" s="7" t="s">
        <v>19</v>
      </c>
      <c r="F9" s="7" t="s">
        <v>30</v>
      </c>
      <c r="G9" s="7" t="s">
        <v>24</v>
      </c>
      <c r="H9" s="7" t="s">
        <v>25</v>
      </c>
      <c r="I9" s="7" t="s">
        <v>33</v>
      </c>
      <c r="J9" s="7" t="s">
        <v>81</v>
      </c>
    </row>
    <row r="10" spans="2:14" ht="51" customHeight="1" x14ac:dyDescent="0.25">
      <c r="B10" s="8" t="s">
        <v>2</v>
      </c>
      <c r="C10" s="8" t="s">
        <v>3</v>
      </c>
      <c r="D10" s="2">
        <v>170</v>
      </c>
      <c r="E10" s="4">
        <f>F10-D10</f>
        <v>15</v>
      </c>
      <c r="F10" s="20">
        <v>185</v>
      </c>
      <c r="G10" s="22" t="s">
        <v>99</v>
      </c>
      <c r="H10" s="20">
        <v>133</v>
      </c>
      <c r="I10" s="5">
        <f t="shared" ref="I10:I16" si="0">F10-H10</f>
        <v>52</v>
      </c>
      <c r="J10" s="76">
        <v>1</v>
      </c>
    </row>
    <row r="11" spans="2:14" ht="33.6" customHeight="1" x14ac:dyDescent="0.25">
      <c r="B11" s="8" t="s">
        <v>4</v>
      </c>
      <c r="C11" s="8" t="s">
        <v>15</v>
      </c>
      <c r="D11" s="2">
        <v>175</v>
      </c>
      <c r="E11" s="14">
        <f t="shared" ref="E11:E24" si="1">F11-D11</f>
        <v>10</v>
      </c>
      <c r="F11" s="20">
        <v>185</v>
      </c>
      <c r="G11" s="112" t="s">
        <v>103</v>
      </c>
      <c r="H11" s="20">
        <v>176</v>
      </c>
      <c r="I11" s="6">
        <f t="shared" si="0"/>
        <v>9</v>
      </c>
      <c r="J11" s="108">
        <v>1</v>
      </c>
    </row>
    <row r="12" spans="2:14" x14ac:dyDescent="0.25">
      <c r="B12" s="8" t="s">
        <v>11</v>
      </c>
      <c r="C12" s="8" t="s">
        <v>14</v>
      </c>
      <c r="D12" s="2">
        <v>220</v>
      </c>
      <c r="E12" s="4">
        <f t="shared" si="1"/>
        <v>25</v>
      </c>
      <c r="F12" s="20">
        <v>245</v>
      </c>
      <c r="G12" s="112" t="s">
        <v>106</v>
      </c>
      <c r="H12" s="20">
        <v>245</v>
      </c>
      <c r="I12" s="5">
        <f t="shared" si="0"/>
        <v>0</v>
      </c>
      <c r="J12" s="76">
        <v>1</v>
      </c>
    </row>
    <row r="13" spans="2:14" ht="51" customHeight="1" x14ac:dyDescent="0.25">
      <c r="B13" s="9" t="s">
        <v>8</v>
      </c>
      <c r="C13" s="8" t="s">
        <v>3</v>
      </c>
      <c r="D13" s="2">
        <v>180</v>
      </c>
      <c r="E13" s="4">
        <f t="shared" si="1"/>
        <v>14.5</v>
      </c>
      <c r="F13" s="20">
        <f>190+4.5</f>
        <v>194.5</v>
      </c>
      <c r="G13" s="89" t="s">
        <v>100</v>
      </c>
      <c r="H13" s="20">
        <v>196.4</v>
      </c>
      <c r="I13" s="5">
        <f t="shared" si="0"/>
        <v>-1.9000000000000057</v>
      </c>
      <c r="J13" s="76">
        <v>1</v>
      </c>
    </row>
    <row r="14" spans="2:14" s="37" customFormat="1" ht="107.25" customHeight="1" x14ac:dyDescent="0.25">
      <c r="B14" s="41" t="s">
        <v>36</v>
      </c>
      <c r="C14" s="40" t="s">
        <v>37</v>
      </c>
      <c r="D14" s="39">
        <v>140</v>
      </c>
      <c r="E14" s="4">
        <f t="shared" si="1"/>
        <v>25</v>
      </c>
      <c r="F14" s="43">
        <f>155+10</f>
        <v>165</v>
      </c>
      <c r="G14" s="42" t="s">
        <v>109</v>
      </c>
      <c r="H14" s="116">
        <v>163.6</v>
      </c>
      <c r="I14" s="5">
        <f t="shared" si="0"/>
        <v>1.4000000000000057</v>
      </c>
      <c r="J14" s="60">
        <v>0</v>
      </c>
    </row>
    <row r="15" spans="2:14" s="44" customFormat="1" ht="56.25" x14ac:dyDescent="0.25">
      <c r="B15" s="41" t="s">
        <v>39</v>
      </c>
      <c r="C15" s="40" t="s">
        <v>38</v>
      </c>
      <c r="D15" s="39">
        <v>145</v>
      </c>
      <c r="E15" s="4">
        <f t="shared" ref="E15" si="2">F15-D15</f>
        <v>5</v>
      </c>
      <c r="F15" s="43">
        <v>150</v>
      </c>
      <c r="G15" s="50" t="s">
        <v>105</v>
      </c>
      <c r="H15" s="43">
        <v>150</v>
      </c>
      <c r="I15" s="5">
        <f t="shared" ref="I15" si="3">F15-H15</f>
        <v>0</v>
      </c>
      <c r="J15" s="76">
        <v>1</v>
      </c>
    </row>
    <row r="16" spans="2:14" s="19" customFormat="1" ht="105" customHeight="1" x14ac:dyDescent="0.25">
      <c r="B16" s="8" t="s">
        <v>10</v>
      </c>
      <c r="C16" s="8" t="s">
        <v>17</v>
      </c>
      <c r="D16" s="2">
        <v>185</v>
      </c>
      <c r="E16" s="66">
        <f t="shared" ref="E16:E21" si="4">F16-D16</f>
        <v>0</v>
      </c>
      <c r="F16" s="20">
        <v>185</v>
      </c>
      <c r="G16" s="113" t="s">
        <v>104</v>
      </c>
      <c r="H16" s="20">
        <v>150.69999999999999</v>
      </c>
      <c r="I16" s="6">
        <f t="shared" si="0"/>
        <v>34.300000000000011</v>
      </c>
      <c r="J16" s="76">
        <v>1</v>
      </c>
    </row>
    <row r="17" spans="1:15" s="21" customFormat="1" ht="77.25" customHeight="1" x14ac:dyDescent="0.25">
      <c r="A17" s="19"/>
      <c r="B17" s="8" t="s">
        <v>31</v>
      </c>
      <c r="C17" s="8" t="s">
        <v>34</v>
      </c>
      <c r="D17" s="2">
        <v>180</v>
      </c>
      <c r="E17" s="66">
        <f t="shared" si="4"/>
        <v>15</v>
      </c>
      <c r="F17" s="29">
        <f>185+10</f>
        <v>195</v>
      </c>
      <c r="G17" s="22" t="s">
        <v>111</v>
      </c>
      <c r="H17" s="29">
        <v>195</v>
      </c>
      <c r="I17" s="6">
        <f t="shared" ref="I17:I24" si="5">F17-H17</f>
        <v>0</v>
      </c>
      <c r="J17" s="109">
        <v>1</v>
      </c>
      <c r="L17" s="80" t="s">
        <v>74</v>
      </c>
      <c r="M17" s="44"/>
    </row>
    <row r="18" spans="1:15" s="19" customFormat="1" ht="25.5" customHeight="1" x14ac:dyDescent="0.25">
      <c r="B18" s="8" t="s">
        <v>12</v>
      </c>
      <c r="C18" s="8" t="s">
        <v>20</v>
      </c>
      <c r="D18" s="2">
        <v>220</v>
      </c>
      <c r="E18" s="66">
        <f t="shared" si="4"/>
        <v>105.65596364608257</v>
      </c>
      <c r="F18" s="67">
        <f>D18+Kэфф*($E$7*1000)/2</f>
        <v>325.65596364608257</v>
      </c>
      <c r="G18" s="22" t="s">
        <v>98</v>
      </c>
      <c r="H18" s="34">
        <v>308</v>
      </c>
      <c r="I18" s="4">
        <f t="shared" si="5"/>
        <v>17.655963646082569</v>
      </c>
      <c r="J18" s="109">
        <v>1</v>
      </c>
      <c r="K18" s="110"/>
      <c r="L18" s="115">
        <f>D18+($E$7-перерасход)*(1000/2)</f>
        <v>179.1682628405639</v>
      </c>
      <c r="N18" s="114"/>
    </row>
    <row r="19" spans="1:15" s="19" customFormat="1" ht="90.75" customHeight="1" x14ac:dyDescent="0.25">
      <c r="B19" s="8" t="s">
        <v>13</v>
      </c>
      <c r="C19" s="8" t="s">
        <v>16</v>
      </c>
      <c r="D19" s="2">
        <v>250</v>
      </c>
      <c r="E19" s="66">
        <f t="shared" si="4"/>
        <v>108.65596364608257</v>
      </c>
      <c r="F19" s="67">
        <f>D19+Kэфф*($E$7*1000)/2+3</f>
        <v>358.65596364608257</v>
      </c>
      <c r="G19" s="22" t="s">
        <v>110</v>
      </c>
      <c r="H19" s="34">
        <v>350</v>
      </c>
      <c r="I19" s="73">
        <f t="shared" si="5"/>
        <v>8.6559636460825686</v>
      </c>
      <c r="J19" s="75">
        <v>1</v>
      </c>
      <c r="K19" s="38"/>
      <c r="L19" s="115">
        <f>D19+($E$7-перерасход)*(1000/2)</f>
        <v>209.1682628405639</v>
      </c>
      <c r="M19" s="36"/>
      <c r="N19" s="114"/>
    </row>
    <row r="20" spans="1:15" s="19" customFormat="1" ht="26.25" customHeight="1" x14ac:dyDescent="0.25">
      <c r="B20" s="8" t="s">
        <v>6</v>
      </c>
      <c r="C20" s="8" t="s">
        <v>15</v>
      </c>
      <c r="D20" s="2">
        <v>190</v>
      </c>
      <c r="E20" s="4">
        <f t="shared" si="4"/>
        <v>15</v>
      </c>
      <c r="F20" s="30">
        <v>205</v>
      </c>
      <c r="G20" s="22" t="s">
        <v>101</v>
      </c>
      <c r="H20" s="30">
        <v>215</v>
      </c>
      <c r="I20" s="5">
        <f t="shared" si="5"/>
        <v>-10</v>
      </c>
      <c r="J20" s="76">
        <v>1</v>
      </c>
      <c r="M20" s="36"/>
    </row>
    <row r="21" spans="1:15" ht="24.6" customHeight="1" x14ac:dyDescent="0.25">
      <c r="B21" s="8" t="s">
        <v>9</v>
      </c>
      <c r="C21" s="8" t="s">
        <v>20</v>
      </c>
      <c r="D21" s="2">
        <v>160</v>
      </c>
      <c r="E21" s="4">
        <f t="shared" si="4"/>
        <v>5</v>
      </c>
      <c r="F21" s="29">
        <v>165</v>
      </c>
      <c r="G21" s="112"/>
      <c r="H21" s="29">
        <v>162</v>
      </c>
      <c r="I21" s="5">
        <f t="shared" si="5"/>
        <v>3</v>
      </c>
      <c r="J21" s="60">
        <v>0</v>
      </c>
      <c r="M21" s="36"/>
    </row>
    <row r="22" spans="1:15" s="21" customFormat="1" ht="74.25" customHeight="1" x14ac:dyDescent="0.25">
      <c r="B22" s="8" t="s">
        <v>32</v>
      </c>
      <c r="C22" s="8" t="s">
        <v>15</v>
      </c>
      <c r="D22" s="2">
        <v>200</v>
      </c>
      <c r="E22" s="14">
        <f t="shared" ref="E22:E23" si="6">F22-D22</f>
        <v>40</v>
      </c>
      <c r="F22" s="29">
        <v>240</v>
      </c>
      <c r="G22" s="22" t="s">
        <v>107</v>
      </c>
      <c r="H22" s="29">
        <v>238</v>
      </c>
      <c r="I22" s="5">
        <f t="shared" si="5"/>
        <v>2</v>
      </c>
      <c r="J22" s="60">
        <v>0</v>
      </c>
    </row>
    <row r="23" spans="1:15" s="111" customFormat="1" ht="20.25" customHeight="1" x14ac:dyDescent="0.25">
      <c r="B23" s="8" t="s">
        <v>96</v>
      </c>
      <c r="C23" s="8" t="s">
        <v>15</v>
      </c>
      <c r="D23" s="2">
        <v>170</v>
      </c>
      <c r="E23" s="14">
        <f t="shared" si="6"/>
        <v>10</v>
      </c>
      <c r="F23" s="29">
        <v>180</v>
      </c>
      <c r="G23" s="22" t="s">
        <v>108</v>
      </c>
      <c r="H23" s="29">
        <v>180</v>
      </c>
      <c r="I23" s="5">
        <f t="shared" ref="I23" si="7">F23-H23</f>
        <v>0</v>
      </c>
      <c r="J23" s="60">
        <v>0</v>
      </c>
    </row>
    <row r="24" spans="1:15" ht="22.5" x14ac:dyDescent="0.25">
      <c r="B24" s="8" t="s">
        <v>7</v>
      </c>
      <c r="C24" s="8" t="s">
        <v>15</v>
      </c>
      <c r="D24" s="2">
        <v>175</v>
      </c>
      <c r="E24" s="14">
        <f t="shared" si="1"/>
        <v>0</v>
      </c>
      <c r="F24" s="29">
        <v>175</v>
      </c>
      <c r="G24" s="22" t="s">
        <v>102</v>
      </c>
      <c r="H24" s="29">
        <v>175</v>
      </c>
      <c r="I24" s="5">
        <f t="shared" si="5"/>
        <v>0</v>
      </c>
      <c r="J24" s="60">
        <v>0</v>
      </c>
    </row>
    <row r="25" spans="1:15" s="23" customFormat="1" ht="16.899999999999999" customHeight="1" x14ac:dyDescent="0.25">
      <c r="B25" s="24"/>
      <c r="C25" s="25"/>
      <c r="D25" s="26"/>
      <c r="E25" s="27"/>
      <c r="F25" s="20"/>
      <c r="G25" s="28"/>
      <c r="H25" s="16"/>
      <c r="I25" s="16"/>
    </row>
    <row r="26" spans="1:15" s="15" customFormat="1" ht="28.9" customHeight="1" x14ac:dyDescent="0.25">
      <c r="C26" s="33"/>
      <c r="E26" s="100" t="s">
        <v>72</v>
      </c>
      <c r="F26" s="46">
        <f>SUMIF(J10:J24,"0",F10:F24)</f>
        <v>925</v>
      </c>
      <c r="G26" s="17"/>
      <c r="H26" s="16"/>
      <c r="I26" s="16"/>
      <c r="J26" s="36"/>
    </row>
    <row r="27" spans="1:15" ht="27.6" customHeight="1" x14ac:dyDescent="0.25">
      <c r="B27" s="3"/>
      <c r="C27" s="48" t="s">
        <v>77</v>
      </c>
      <c r="D27" s="45" t="s">
        <v>78</v>
      </c>
      <c r="E27" s="101" t="s">
        <v>21</v>
      </c>
      <c r="F27" s="47">
        <f>SUM(F10:F24)</f>
        <v>3153.8119272921649</v>
      </c>
      <c r="G27" s="10" t="s">
        <v>23</v>
      </c>
      <c r="H27" s="105" t="s">
        <v>47</v>
      </c>
      <c r="I27" s="49">
        <f>1/K4</f>
        <v>0.03</v>
      </c>
    </row>
    <row r="28" spans="1:15" ht="29.45" customHeight="1" x14ac:dyDescent="0.25">
      <c r="C28" s="58">
        <f>100*12*(F27-F26)/(F29*10^3)</f>
        <v>9.3844712728091153</v>
      </c>
      <c r="D28" s="88" t="str">
        <f>TEXT(F27*1200/(F29*10^3),"0,00")</f>
        <v>13,28</v>
      </c>
      <c r="E28" s="102" t="s">
        <v>27</v>
      </c>
      <c r="F28" s="79" t="str">
        <f>CONCATENATE("Разв.:",TEXT(C28,"0,00"),"; Полн.: ",D28)</f>
        <v>Разв.:9,38; Полн.: 13,28</v>
      </c>
      <c r="G28" s="10" t="s">
        <v>22</v>
      </c>
      <c r="H28" s="106" t="s">
        <v>73</v>
      </c>
      <c r="I28" s="77">
        <f>(C28-C5)*Оборот/(12*100)</f>
        <v>0.32881192729216491</v>
      </c>
    </row>
    <row r="29" spans="1:15" ht="45" customHeight="1" x14ac:dyDescent="0.25">
      <c r="E29" s="103" t="s">
        <v>28</v>
      </c>
      <c r="F29" s="51">
        <f>Оборот</f>
        <v>285</v>
      </c>
      <c r="G29" s="10" t="s">
        <v>26</v>
      </c>
      <c r="H29" s="107"/>
    </row>
    <row r="30" spans="1:15" ht="38.450000000000003" customHeight="1" x14ac:dyDescent="0.25">
      <c r="E30" s="104" t="s">
        <v>40</v>
      </c>
      <c r="F30" s="78">
        <f>AVERAGE(F10:F24)</f>
        <v>210.25412848614434</v>
      </c>
      <c r="G30" s="64"/>
      <c r="H30" s="106" t="s">
        <v>46</v>
      </c>
      <c r="I30" s="77">
        <f>(Оборот*$C$5*1000/(100*12))/$K$6</f>
        <v>222.22222222222226</v>
      </c>
      <c r="J30" s="18" t="s">
        <v>79</v>
      </c>
      <c r="K30" s="85">
        <f>K6</f>
        <v>8.5499999999999989</v>
      </c>
      <c r="L30" s="86">
        <f>I30*Kэфф</f>
        <v>190</v>
      </c>
      <c r="M30" s="18" t="s">
        <v>79</v>
      </c>
      <c r="N30" s="49">
        <f>K8</f>
        <v>10</v>
      </c>
      <c r="O30" s="63"/>
    </row>
    <row r="31" spans="1:15" ht="45.75" customHeight="1" x14ac:dyDescent="0.25">
      <c r="E31" s="104" t="s">
        <v>41</v>
      </c>
      <c r="F31" s="47">
        <v>14</v>
      </c>
      <c r="G31" s="48" t="s">
        <v>45</v>
      </c>
      <c r="H31" s="105" t="s">
        <v>54</v>
      </c>
      <c r="I31" s="54">
        <f>330*M5</f>
        <v>282.14999999999998</v>
      </c>
      <c r="L31" s="80" t="s">
        <v>97</v>
      </c>
      <c r="M31" s="53"/>
    </row>
    <row r="34" spans="5:7" x14ac:dyDescent="0.25">
      <c r="E34" s="45" t="s">
        <v>42</v>
      </c>
      <c r="F34" s="76">
        <v>2</v>
      </c>
      <c r="G34" s="45" t="s">
        <v>43</v>
      </c>
    </row>
    <row r="35" spans="5:7" x14ac:dyDescent="0.25">
      <c r="E35" s="45" t="s">
        <v>76</v>
      </c>
      <c r="F35" s="76">
        <v>1</v>
      </c>
      <c r="G35" s="45" t="s">
        <v>44</v>
      </c>
    </row>
    <row r="36" spans="5:7" x14ac:dyDescent="0.25">
      <c r="E36" s="45" t="s">
        <v>49</v>
      </c>
      <c r="F36" s="76">
        <v>1</v>
      </c>
      <c r="G36" s="45" t="s">
        <v>50</v>
      </c>
    </row>
    <row r="37" spans="5:7" x14ac:dyDescent="0.25">
      <c r="E37" s="45" t="s">
        <v>51</v>
      </c>
      <c r="F37" s="75">
        <v>0.15</v>
      </c>
      <c r="G37" s="45" t="s">
        <v>52</v>
      </c>
    </row>
    <row r="38" spans="5:7" x14ac:dyDescent="0.25">
      <c r="E38" s="45" t="s">
        <v>51</v>
      </c>
      <c r="F38" s="75">
        <v>0.5</v>
      </c>
      <c r="G38" s="45" t="s">
        <v>53</v>
      </c>
    </row>
  </sheetData>
  <conditionalFormatting sqref="I10:I13 I16 I24:I26 I18:I21">
    <cfRule type="cellIs" dxfId="5" priority="8" operator="greaterThan">
      <formula>0</formula>
    </cfRule>
  </conditionalFormatting>
  <conditionalFormatting sqref="I17">
    <cfRule type="cellIs" dxfId="4" priority="6" operator="greaterThan">
      <formula>0</formula>
    </cfRule>
  </conditionalFormatting>
  <conditionalFormatting sqref="I22">
    <cfRule type="cellIs" dxfId="3" priority="4" operator="greaterThan">
      <formula>0</formula>
    </cfRule>
  </conditionalFormatting>
  <conditionalFormatting sqref="I14">
    <cfRule type="cellIs" dxfId="2" priority="3" operator="greaterThan">
      <formula>0</formula>
    </cfRule>
  </conditionalFormatting>
  <conditionalFormatting sqref="I15">
    <cfRule type="cellIs" dxfId="1" priority="2" operator="greaterThan">
      <formula>0</formula>
    </cfRule>
  </conditionalFormatting>
  <conditionalFormatting sqref="I23">
    <cfRule type="cellIs" dxfId="0" priority="1" operator="greaterThan">
      <formula>0</formula>
    </cfRule>
  </conditionalFormatting>
  <hyperlinks>
    <hyperlink ref="G3" r:id="rId1" location="gid=316769203"/>
    <hyperlink ref="G2" r:id="rId2" display="&quot;\\Fserv\e\MERA\WORKS\ДСИ\РСС\3. Документы\командировки\ДСИ РСС командировки 2023_v01.xlsx&quot; "/>
    <hyperlink ref="G1" r:id="rId3" location="gid=188003400" display="https://docs.google.com/spreadsheets/d/1mUoVyqMvLxNkew3nU1ZeJ1OjpYy3j-FOVDpqwsZ9BPU/edit?gid=188003400#gid=188003400"/>
  </hyperlinks>
  <pageMargins left="0.70866141732283472" right="0.70866141732283472" top="0.74803149606299213" bottom="0.74803149606299213" header="0.31496062992125984" footer="0.31496062992125984"/>
  <pageSetup paperSize="9" scale="75" orientation="landscape" r:id="rId4"/>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E8"/>
  <sheetViews>
    <sheetView workbookViewId="0">
      <selection activeCell="B8" sqref="B8"/>
    </sheetView>
  </sheetViews>
  <sheetFormatPr defaultRowHeight="15" x14ac:dyDescent="0.25"/>
  <cols>
    <col min="2" max="2" width="11.42578125" customWidth="1"/>
    <col min="3" max="3" width="55.42578125" customWidth="1"/>
    <col min="4" max="4" width="8.28515625" customWidth="1"/>
    <col min="5" max="5" width="44.42578125" customWidth="1"/>
  </cols>
  <sheetData>
    <row r="2" spans="2:5" x14ac:dyDescent="0.25">
      <c r="B2" s="45" t="s">
        <v>82</v>
      </c>
      <c r="C2" s="45" t="s">
        <v>83</v>
      </c>
      <c r="D2" s="90">
        <v>0.85</v>
      </c>
      <c r="E2" s="45" t="s">
        <v>84</v>
      </c>
    </row>
    <row r="3" spans="2:5" ht="65.45" customHeight="1" x14ac:dyDescent="0.25">
      <c r="B3" s="45" t="s">
        <v>85</v>
      </c>
      <c r="C3" s="48" t="s">
        <v>86</v>
      </c>
      <c r="D3" s="90">
        <v>2000</v>
      </c>
      <c r="E3" s="48" t="s">
        <v>87</v>
      </c>
    </row>
    <row r="4" spans="2:5" x14ac:dyDescent="0.25">
      <c r="B4" s="45" t="s">
        <v>63</v>
      </c>
      <c r="C4" s="45" t="s">
        <v>88</v>
      </c>
    </row>
    <row r="5" spans="2:5" ht="78" customHeight="1" x14ac:dyDescent="0.25">
      <c r="B5" s="45" t="s">
        <v>41</v>
      </c>
      <c r="C5" s="48" t="s">
        <v>90</v>
      </c>
    </row>
    <row r="6" spans="2:5" x14ac:dyDescent="0.25">
      <c r="B6" s="45" t="s">
        <v>89</v>
      </c>
      <c r="C6" s="45" t="s">
        <v>92</v>
      </c>
    </row>
    <row r="7" spans="2:5" ht="36.6" customHeight="1" x14ac:dyDescent="0.25">
      <c r="B7" s="45" t="s">
        <v>91</v>
      </c>
      <c r="C7" s="48" t="s">
        <v>93</v>
      </c>
    </row>
    <row r="8" spans="2:5" ht="103.9" customHeight="1" x14ac:dyDescent="0.25">
      <c r="B8" s="48" t="s">
        <v>94</v>
      </c>
      <c r="C8" s="48" t="s">
        <v>95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Листы</vt:lpstr>
      </vt:variant>
      <vt:variant>
        <vt:i4>2</vt:i4>
      </vt:variant>
      <vt:variant>
        <vt:lpstr>Именованные диапазоны</vt:lpstr>
      </vt:variant>
      <vt:variant>
        <vt:i4>4</vt:i4>
      </vt:variant>
    </vt:vector>
  </HeadingPairs>
  <TitlesOfParts>
    <vt:vector size="6" baseType="lpstr">
      <vt:lpstr>Итог</vt:lpstr>
      <vt:lpstr>Инструкция</vt:lpstr>
      <vt:lpstr>Kэфф</vt:lpstr>
      <vt:lpstr>N_факт</vt:lpstr>
      <vt:lpstr>Оборот</vt:lpstr>
      <vt:lpstr>перерасход</vt:lpstr>
    </vt:vector>
  </TitlesOfParts>
  <Company>Reanimator Extreme Edition</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Elli 2.1 Full</dc:creator>
  <cp:lastModifiedBy>SkripnikAA</cp:lastModifiedBy>
  <cp:lastPrinted>2025-03-19T12:40:52Z</cp:lastPrinted>
  <dcterms:created xsi:type="dcterms:W3CDTF">2014-04-29T13:15:21Z</dcterms:created>
  <dcterms:modified xsi:type="dcterms:W3CDTF">2026-05-29T12:53:58Z</dcterms:modified>
</cp:coreProperties>
</file>